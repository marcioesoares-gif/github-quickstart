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io.soares\Downloads\"/>
    </mc:Choice>
  </mc:AlternateContent>
  <xr:revisionPtr revIDLastSave="0" documentId="13_ncr:1_{A7FE5B3F-7C45-4047-A57A-7D40F3F31122}" xr6:coauthVersionLast="47" xr6:coauthVersionMax="47" xr10:uidLastSave="{00000000-0000-0000-0000-000000000000}"/>
  <bookViews>
    <workbookView xWindow="-120" yWindow="-120" windowWidth="20640" windowHeight="11040" tabRatio="50" xr2:uid="{1BC53113-2287-4D11-AAAC-09B557454F3D}"/>
  </bookViews>
  <sheets>
    <sheet name="TITULAR" sheetId="3" r:id="rId1"/>
    <sheet name="INFORMES" sheetId="5" r:id="rId2"/>
    <sheet name="BANCOS" sheetId="9" state="hidden" r:id="rId3"/>
    <sheet name="RENDIMENTOS" sheetId="6" r:id="rId4"/>
    <sheet name="DESPESAS" sheetId="7" r:id="rId5"/>
    <sheet name="RESULTADO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8" l="1"/>
  <c r="D6" i="8"/>
  <c r="D8" i="8"/>
  <c r="E8" i="8" s="1"/>
  <c r="D9" i="8" s="1"/>
  <c r="D10" i="8" s="1"/>
  <c r="E10" i="8" s="1"/>
  <c r="E20" i="7"/>
  <c r="E20" i="6"/>
  <c r="D6" i="5"/>
</calcChain>
</file>

<file path=xl/sharedStrings.xml><?xml version="1.0" encoding="utf-8"?>
<sst xmlns="http://schemas.openxmlformats.org/spreadsheetml/2006/main" count="130" uniqueCount="109">
  <si>
    <t>1. DADOS DO TÍTULAR</t>
  </si>
  <si>
    <t>Preencha os abaixo com as suas informações pessoais</t>
  </si>
  <si>
    <t>NOME</t>
  </si>
  <si>
    <t>CPF</t>
  </si>
  <si>
    <t>NASCIMENTO</t>
  </si>
  <si>
    <t>TÍTULO DE ELEITOR</t>
  </si>
  <si>
    <t>CONJUGÊ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</si>
  <si>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</si>
  <si>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</si>
  <si>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</si>
  <si>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</si>
  <si>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</si>
  <si>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</si>
  <si>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</si>
  <si>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</si>
  <si>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NO EXTERIOR</t>
  </si>
  <si>
    <t>DEBORA SILVEIRA</t>
  </si>
  <si>
    <t>HERCULANO T PRADO, 232</t>
  </si>
  <si>
    <t>HECULANO TOLEDO DE PRADO, 232</t>
  </si>
  <si>
    <t>MARCIOE.SOARES@GMAIL.COM</t>
  </si>
  <si>
    <t>NÃO</t>
  </si>
  <si>
    <t>1º BANCO</t>
  </si>
  <si>
    <t>BANCO</t>
  </si>
  <si>
    <t>SALDO EM 31/12</t>
  </si>
  <si>
    <t>2º BANCO</t>
  </si>
  <si>
    <t>3º BANCO</t>
  </si>
  <si>
    <t>2. INFORMES DE RENDIMENTOS BANCÁRIOS</t>
  </si>
  <si>
    <t>Prencha de acordo com as informações que constam nos informes de rendimentos bancários</t>
  </si>
  <si>
    <t>SALDO TOTAL</t>
  </si>
  <si>
    <t>NOME DO 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</si>
  <si>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</si>
  <si>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</si>
  <si>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</si>
  <si>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</si>
  <si>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</si>
  <si>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</si>
  <si>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</si>
  <si>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</si>
  <si>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</si>
  <si>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</si>
  <si>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</si>
  <si>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</si>
  <si>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</si>
  <si>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</si>
  <si>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</si>
  <si>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</si>
  <si>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</si>
  <si>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</si>
  <si>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</si>
  <si>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</si>
  <si>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</si>
  <si>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</si>
  <si>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</si>
  <si>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</si>
  <si>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</si>
  <si>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</si>
  <si>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</si>
  <si>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</si>
  <si>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</si>
  <si>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</si>
  <si>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</si>
  <si>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</si>
  <si>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</si>
  <si>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</si>
  <si>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</si>
  <si>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</si>
  <si>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</si>
  <si>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</si>
  <si>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</si>
  <si>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</si>
  <si>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</si>
  <si>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</si>
  <si>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</si>
  <si>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</si>
  <si>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</si>
  <si>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</si>
  <si>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</si>
  <si>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</si>
  <si>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</si>
  <si>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</si>
  <si>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btg.26</t>
  </si>
  <si>
    <t>rural.26</t>
  </si>
  <si>
    <t>inter.26</t>
  </si>
  <si>
    <t>3. RENDIMENTOS</t>
  </si>
  <si>
    <t>💡DICAS DE PREENCHIMENTO</t>
  </si>
  <si>
    <t>FONTE PAGADORA</t>
  </si>
  <si>
    <t>Preencha os valores recebidos no ano de 2026</t>
  </si>
  <si>
    <t>DOCUMENTO</t>
  </si>
  <si>
    <t>VALOR</t>
  </si>
  <si>
    <t>PESSOA JURIDICA</t>
  </si>
  <si>
    <t>HOLERITE</t>
  </si>
  <si>
    <t>MARCIO SOARES</t>
  </si>
  <si>
    <t>PESSOA FISICA</t>
  </si>
  <si>
    <t>ALUGUEL</t>
  </si>
  <si>
    <t>13º SALARIO</t>
  </si>
  <si>
    <t>AUTONOMO</t>
  </si>
  <si>
    <t>4. DESPESAS</t>
  </si>
  <si>
    <t>Preencha os valores gastos no ano de 2026</t>
  </si>
  <si>
    <t>CONVENIO</t>
  </si>
  <si>
    <t>DENTISTA</t>
  </si>
  <si>
    <t>PSICOLOGO</t>
  </si>
  <si>
    <t>ESCOLA</t>
  </si>
  <si>
    <t>5. RESULTADOS</t>
  </si>
  <si>
    <t>Estimativa prêvia do resultado do imposto devido ou a recuperar</t>
  </si>
  <si>
    <t>RENDIMENTOS DECLARADOS</t>
  </si>
  <si>
    <t>DESPESAS DECLARADAS</t>
  </si>
  <si>
    <t>BASE DE CALCULO</t>
  </si>
  <si>
    <t>ALIQUOTA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</si>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</sst>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8" formatCode="000&quot;.&quot;000&quot;.&quot;000&quot;-&quot;00"/>
    <numFmt numFmtId="169" formatCode="0000\ 0000\ 0000"/>
    <numFmt numFmtId="170" formatCode="00000&quot;-&quot;000"/>
    <numFmt numFmtId="175" formatCode="&quot;(&quot;00&quot;)&quot;\ 0000&quot;-&quot;0000"/>
    <numFmt numFmtId="176" formatCode="&quot;(&quot;00&quot;)&quot;\ 00000&quot;-&quot;0000"/>
    <numFmt numFmtId="177" formatCode="&quot;R$&quot;\ #,##0.00"/>
    <numFmt numFmtId="178" formatCode="_-[$R$-416]\ * #,##0.00_-;\-[$R$-416]\ * #,##0.00_-;_-[$R$-416]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rgb="FF365FA8"/>
      <name val="Segoe UI"/>
      <family val="2"/>
    </font>
    <font>
      <i/>
      <sz val="10"/>
      <color rgb="FF3E6C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Segoe UI"/>
      <family val="2"/>
    </font>
    <font>
      <sz val="10"/>
      <color rgb="FF3E6CC0"/>
      <name val="Segoe UI Black"/>
      <family val="2"/>
    </font>
    <font>
      <sz val="11"/>
      <color rgb="FF9C5700"/>
      <name val="Segoe UI"/>
      <family val="2"/>
    </font>
    <font>
      <sz val="10"/>
      <color rgb="FF9C5700"/>
      <name val="Segoe UI"/>
      <family val="2"/>
    </font>
    <font>
      <b/>
      <sz val="10"/>
      <color rgb="FF3E6CC0"/>
      <name val="Segoe UI"/>
      <family val="2"/>
    </font>
    <font>
      <sz val="11"/>
      <color theme="10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0E1317"/>
        <bgColor indexed="64"/>
      </patternFill>
    </fill>
    <fill>
      <patternFill patternType="solid">
        <fgColor rgb="FF365FA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 tint="-0.24994659260841701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0" fillId="4" borderId="0" xfId="0" applyFill="1"/>
    <xf numFmtId="0" fontId="5" fillId="0" borderId="0" xfId="4" applyFont="1" applyFill="1" applyBorder="1" applyAlignment="1">
      <alignment horizontal="left"/>
    </xf>
    <xf numFmtId="0" fontId="6" fillId="3" borderId="1" xfId="4" applyFont="1" applyBorder="1" applyAlignment="1">
      <alignment horizontal="left" vertical="center" indent="2"/>
    </xf>
    <xf numFmtId="0" fontId="4" fillId="0" borderId="0" xfId="0" applyFont="1"/>
    <xf numFmtId="0" fontId="3" fillId="0" borderId="2" xfId="0" applyFont="1" applyBorder="1" applyAlignment="1">
      <alignment horizontal="right"/>
    </xf>
    <xf numFmtId="0" fontId="6" fillId="0" borderId="0" xfId="4" applyFont="1" applyFill="1" applyBorder="1" applyAlignment="1">
      <alignment horizontal="left" vertical="center" indent="2"/>
    </xf>
    <xf numFmtId="0" fontId="8" fillId="0" borderId="0" xfId="0" applyFont="1"/>
    <xf numFmtId="0" fontId="6" fillId="3" borderId="1" xfId="4" applyFont="1" applyBorder="1" applyAlignment="1">
      <alignment vertical="center"/>
    </xf>
    <xf numFmtId="0" fontId="9" fillId="3" borderId="1" xfId="4" applyFont="1" applyBorder="1" applyAlignment="1">
      <alignment vertical="center"/>
    </xf>
    <xf numFmtId="0" fontId="3" fillId="0" borderId="3" xfId="0" applyFont="1" applyBorder="1" applyAlignment="1">
      <alignment horizontal="right"/>
    </xf>
    <xf numFmtId="177" fontId="11" fillId="2" borderId="3" xfId="3" applyNumberFormat="1" applyFont="1" applyBorder="1" applyAlignment="1">
      <alignment horizontal="left"/>
    </xf>
    <xf numFmtId="177" fontId="12" fillId="3" borderId="1" xfId="4" applyNumberFormat="1" applyFont="1" applyBorder="1" applyAlignment="1">
      <alignment horizontal="center" vertical="center"/>
    </xf>
    <xf numFmtId="0" fontId="2" fillId="2" borderId="0" xfId="3" applyAlignment="1">
      <alignment horizontal="center"/>
    </xf>
    <xf numFmtId="0" fontId="3" fillId="0" borderId="0" xfId="0" applyFont="1" applyAlignment="1">
      <alignment horizontal="left"/>
    </xf>
    <xf numFmtId="178" fontId="3" fillId="5" borderId="4" xfId="0" applyNumberFormat="1" applyFont="1" applyFill="1" applyBorder="1"/>
    <xf numFmtId="0" fontId="3" fillId="6" borderId="0" xfId="0" applyFont="1" applyFill="1" applyBorder="1"/>
    <xf numFmtId="177" fontId="11" fillId="2" borderId="3" xfId="1" applyNumberFormat="1" applyFont="1" applyFill="1" applyBorder="1" applyAlignment="1">
      <alignment horizontal="left"/>
    </xf>
    <xf numFmtId="1" fontId="14" fillId="0" borderId="0" xfId="1" applyNumberFormat="1" applyFont="1" applyFill="1"/>
    <xf numFmtId="0" fontId="4" fillId="0" borderId="0" xfId="0" applyFont="1" applyFill="1"/>
    <xf numFmtId="0" fontId="0" fillId="0" borderId="0" xfId="0" applyFill="1"/>
    <xf numFmtId="177" fontId="11" fillId="0" borderId="5" xfId="1" applyNumberFormat="1" applyFont="1" applyFill="1" applyBorder="1" applyAlignment="1">
      <alignment horizontal="left"/>
    </xf>
    <xf numFmtId="0" fontId="0" fillId="0" borderId="0" xfId="0" applyBorder="1"/>
    <xf numFmtId="0" fontId="13" fillId="2" borderId="2" xfId="5" applyFont="1" applyFill="1" applyBorder="1" applyAlignment="1" applyProtection="1">
      <alignment horizontal="left"/>
      <protection locked="0"/>
    </xf>
    <xf numFmtId="168" fontId="2" fillId="2" borderId="2" xfId="3" applyNumberFormat="1" applyBorder="1" applyAlignment="1" applyProtection="1">
      <alignment horizontal="left"/>
      <protection locked="0"/>
    </xf>
    <xf numFmtId="14" fontId="2" fillId="2" borderId="2" xfId="3" applyNumberFormat="1" applyBorder="1" applyAlignment="1" applyProtection="1">
      <alignment horizontal="left"/>
      <protection locked="0"/>
    </xf>
    <xf numFmtId="169" fontId="2" fillId="2" borderId="2" xfId="3" applyNumberFormat="1" applyBorder="1" applyAlignment="1" applyProtection="1">
      <alignment horizontal="left"/>
      <protection locked="0"/>
    </xf>
    <xf numFmtId="0" fontId="2" fillId="2" borderId="2" xfId="3" applyBorder="1" applyAlignment="1" applyProtection="1">
      <alignment horizontal="left"/>
      <protection locked="0"/>
    </xf>
    <xf numFmtId="170" fontId="2" fillId="2" borderId="2" xfId="3" applyNumberFormat="1" applyBorder="1" applyAlignment="1" applyProtection="1">
      <alignment horizontal="left"/>
      <protection locked="0"/>
    </xf>
    <xf numFmtId="175" fontId="2" fillId="2" borderId="2" xfId="3" applyNumberFormat="1" applyBorder="1" applyAlignment="1" applyProtection="1">
      <alignment horizontal="left"/>
      <protection locked="0"/>
    </xf>
    <xf numFmtId="176" fontId="2" fillId="2" borderId="2" xfId="3" applyNumberFormat="1" applyBorder="1" applyAlignment="1" applyProtection="1">
      <alignment horizontal="left"/>
      <protection locked="0"/>
    </xf>
    <xf numFmtId="0" fontId="7" fillId="2" borderId="2" xfId="5" applyFill="1" applyBorder="1" applyAlignment="1" applyProtection="1">
      <alignment horizontal="left"/>
      <protection locked="0"/>
    </xf>
    <xf numFmtId="0" fontId="11" fillId="2" borderId="3" xfId="3" applyFont="1" applyBorder="1" applyProtection="1">
      <protection locked="0"/>
    </xf>
    <xf numFmtId="177" fontId="11" fillId="2" borderId="3" xfId="3" applyNumberFormat="1" applyFont="1" applyBorder="1" applyAlignment="1" applyProtection="1">
      <alignment horizontal="left"/>
      <protection locked="0"/>
    </xf>
    <xf numFmtId="0" fontId="10" fillId="2" borderId="3" xfId="3" applyFont="1" applyBorder="1" applyProtection="1">
      <protection locked="0"/>
    </xf>
    <xf numFmtId="0" fontId="3" fillId="0" borderId="0" xfId="0" applyFont="1" applyProtection="1">
      <protection locked="0"/>
    </xf>
    <xf numFmtId="178" fontId="3" fillId="0" borderId="0" xfId="0" applyNumberFormat="1" applyFont="1" applyProtection="1">
      <protection locked="0"/>
    </xf>
    <xf numFmtId="10" fontId="11" fillId="2" borderId="3" xfId="2" applyNumberFormat="1" applyFont="1" applyFill="1" applyBorder="1" applyAlignment="1">
      <alignment horizontal="left" indent="1"/>
    </xf>
  </cellXfs>
  <cellStyles count="6">
    <cellStyle name="20% - Ênfase5" xfId="4" builtinId="46"/>
    <cellStyle name="Hiperlink" xfId="5" builtinId="8"/>
    <cellStyle name="Moeda" xfId="1" builtinId="4"/>
    <cellStyle name="Neutro" xfId="3" builtinId="28"/>
    <cellStyle name="Normal" xfId="0" builtinId="0"/>
    <cellStyle name="Porcentagem" xfId="2" builtinId="5"/>
  </cellStyles>
  <dxfs count="22"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78" formatCode="_-[$R$-416]\ * #,##0.00_-;\-[$R$-416]\ * #,##0.00_-;_-[$R$-416]\ * &quot;-&quot;??_-;_-@_-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78" formatCode="_-[$R$-416]\ * #,##0.00_-;\-[$R$-416]\ * #,##0.00_-;_-[$R$-416]\ * &quot;-&quot;??_-;_-@_-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78" formatCode="_-[$R$-416]\ * #,##0.00_-;\-[$R$-416]\ * #,##0.00_-;_-[$R$-416]\ * &quot;-&quot;??_-;_-@_-"/>
      <fill>
        <patternFill patternType="solid">
          <fgColor indexed="64"/>
          <bgColor rgb="FF365FA8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78" formatCode="_-[$R$-416]\ * #,##0.00_-;\-[$R$-416]\ * #,##0.00_-;_-[$R$-416]\ * &quot;-&quot;??_-;_-@_-"/>
      <fill>
        <patternFill patternType="solid">
          <fgColor indexed="64"/>
          <bgColor rgb="FF365FA8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  <color rgb="FF0E1317"/>
      <color rgb="FF365FA8"/>
      <color rgb="FF2F8DAF"/>
      <color rgb="FF3E6C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RESULTADO!C1"/><Relationship Id="rId3" Type="http://schemas.openxmlformats.org/officeDocument/2006/relationships/hyperlink" Target="#RENDIMENTOS!A1"/><Relationship Id="rId7" Type="http://schemas.openxmlformats.org/officeDocument/2006/relationships/hyperlink" Target="#DESPESAS!C1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marcio-elias-soares-1a4026156/?isSelfProfile=true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DESPESAS!C1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io-elias-soares-1a4026156/?isSelfProfile=true" TargetMode="External"/><Relationship Id="rId10" Type="http://schemas.openxmlformats.org/officeDocument/2006/relationships/hyperlink" Target="#BANCOS!A1"/><Relationship Id="rId4" Type="http://schemas.openxmlformats.org/officeDocument/2006/relationships/hyperlink" Target="#RENDIMENTOS!C1"/><Relationship Id="rId9" Type="http://schemas.openxmlformats.org/officeDocument/2006/relationships/hyperlink" Target="#RESULTADO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ESPESAS!C1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io-elias-soares-1a4026156/?isSelfProfile=true" TargetMode="External"/><Relationship Id="rId10" Type="http://schemas.openxmlformats.org/officeDocument/2006/relationships/hyperlink" Target="#BANCOS!A1"/><Relationship Id="rId4" Type="http://schemas.openxmlformats.org/officeDocument/2006/relationships/hyperlink" Target="#RENDIMENTOS!C1"/><Relationship Id="rId9" Type="http://schemas.openxmlformats.org/officeDocument/2006/relationships/hyperlink" Target="#RESULTADO!C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RESULTADO!C1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io-elias-soares-1a4026156/?isSelfProfile=true" TargetMode="External"/><Relationship Id="rId10" Type="http://schemas.openxmlformats.org/officeDocument/2006/relationships/hyperlink" Target="#BANCOS!A1"/><Relationship Id="rId4" Type="http://schemas.openxmlformats.org/officeDocument/2006/relationships/hyperlink" Target="#RENDIMENTOS!C1"/><Relationship Id="rId9" Type="http://schemas.openxmlformats.org/officeDocument/2006/relationships/hyperlink" Target="#RESULTADO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DESPESAS!C1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io-elias-soares-1a4026156/?isSelfProfile=true" TargetMode="External"/><Relationship Id="rId4" Type="http://schemas.openxmlformats.org/officeDocument/2006/relationships/hyperlink" Target="#RENDIMENTO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506239</xdr:colOff>
      <xdr:row>2</xdr:row>
      <xdr:rowOff>165139</xdr:rowOff>
    </xdr:from>
    <xdr:to>
      <xdr:col>0</xdr:col>
      <xdr:colOff>1274935</xdr:colOff>
      <xdr:row>7</xdr:row>
      <xdr:rowOff>50477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498F02-3708-4D35-B72B-D89D19EEE5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75" t="7514" r="24055" b="15606"/>
        <a:stretch>
          <a:fillRect/>
        </a:stretch>
      </xdr:blipFill>
      <xdr:spPr>
        <a:xfrm>
          <a:off x="506239" y="546139"/>
          <a:ext cx="768696" cy="86641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19049</xdr:rowOff>
    </xdr:from>
    <xdr:to>
      <xdr:col>1</xdr:col>
      <xdr:colOff>9525</xdr:colOff>
      <xdr:row>2</xdr:row>
      <xdr:rowOff>123824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D66CE9A-6FAC-4DF8-A7F3-559DE26A9909}"/>
            </a:ext>
          </a:extLst>
        </xdr:cNvPr>
        <xdr:cNvSpPr/>
      </xdr:nvSpPr>
      <xdr:spPr>
        <a:xfrm>
          <a:off x="0" y="19049"/>
          <a:ext cx="178117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000">
              <a:ln>
                <a:noFill/>
              </a:ln>
              <a:gradFill flip="none" rotWithShape="1">
                <a:gsLst>
                  <a:gs pos="5000">
                    <a:schemeClr val="accent1">
                      <a:lumMod val="20000"/>
                      <a:lumOff val="80000"/>
                    </a:schemeClr>
                  </a:gs>
                  <a:gs pos="46000">
                    <a:srgbClr val="2F8DAF"/>
                  </a:gs>
                  <a:gs pos="81000">
                    <a:srgbClr val="3E6CC0">
                      <a:lumMod val="64000"/>
                      <a:lumOff val="36000"/>
                    </a:srgbClr>
                  </a:gs>
                </a:gsLst>
                <a:lin ang="0" scaled="1"/>
                <a:tileRect/>
              </a:gradFill>
              <a:effectLst>
                <a:glow>
                  <a:schemeClr val="accent1">
                    <a:alpha val="40000"/>
                  </a:schemeClr>
                </a:glow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I.R. APP</a:t>
          </a:r>
        </a:p>
      </xdr:txBody>
    </xdr:sp>
    <xdr:clientData/>
  </xdr:twoCellAnchor>
  <xdr:twoCellAnchor editAs="absolute">
    <xdr:from>
      <xdr:col>0</xdr:col>
      <xdr:colOff>247650</xdr:colOff>
      <xdr:row>7</xdr:row>
      <xdr:rowOff>91792</xdr:rowOff>
    </xdr:from>
    <xdr:to>
      <xdr:col>0</xdr:col>
      <xdr:colOff>1533525</xdr:colOff>
      <xdr:row>9</xdr:row>
      <xdr:rowOff>110842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50CA8843-E77E-4D01-BEB8-2A5B8A544C7E}"/>
            </a:ext>
          </a:extLst>
        </xdr:cNvPr>
        <xdr:cNvSpPr/>
      </xdr:nvSpPr>
      <xdr:spPr>
        <a:xfrm>
          <a:off x="247650" y="1453867"/>
          <a:ext cx="1285875" cy="40005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46000">
              <a:srgbClr val="2F8DAF"/>
            </a:gs>
            <a:gs pos="81000">
              <a:srgbClr val="3E6CC0">
                <a:lumMod val="64000"/>
                <a:lumOff val="36000"/>
              </a:srgb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247650</xdr:colOff>
      <xdr:row>9</xdr:row>
      <xdr:rowOff>152157</xdr:rowOff>
    </xdr:from>
    <xdr:to>
      <xdr:col>0</xdr:col>
      <xdr:colOff>1533525</xdr:colOff>
      <xdr:row>11</xdr:row>
      <xdr:rowOff>171207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9C6FAB-5CA3-4EDC-AA22-42CBB66EBB69}"/>
            </a:ext>
          </a:extLst>
        </xdr:cNvPr>
        <xdr:cNvSpPr/>
      </xdr:nvSpPr>
      <xdr:spPr>
        <a:xfrm>
          <a:off x="247650" y="1895232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12</xdr:row>
      <xdr:rowOff>22022</xdr:rowOff>
    </xdr:from>
    <xdr:to>
      <xdr:col>0</xdr:col>
      <xdr:colOff>1743074</xdr:colOff>
      <xdr:row>14</xdr:row>
      <xdr:rowOff>41072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D786F1-09F6-4D53-8624-F0ED58CD4C8F}"/>
            </a:ext>
          </a:extLst>
        </xdr:cNvPr>
        <xdr:cNvSpPr/>
      </xdr:nvSpPr>
      <xdr:spPr>
        <a:xfrm>
          <a:off x="38100" y="2336597"/>
          <a:ext cx="170497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RENDIMENTOS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142875</xdr:colOff>
      <xdr:row>19</xdr:row>
      <xdr:rowOff>12617</xdr:rowOff>
    </xdr:from>
    <xdr:to>
      <xdr:col>0</xdr:col>
      <xdr:colOff>1638300</xdr:colOff>
      <xdr:row>19</xdr:row>
      <xdr:rowOff>12617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6BA7FCC-E1D7-41E2-859A-8226E796EFB8}"/>
            </a:ext>
          </a:extLst>
        </xdr:cNvPr>
        <xdr:cNvCxnSpPr/>
      </xdr:nvCxnSpPr>
      <xdr:spPr>
        <a:xfrm>
          <a:off x="142875" y="3660692"/>
          <a:ext cx="1495425" cy="0"/>
        </a:xfrm>
        <a:prstGeom prst="line">
          <a:avLst/>
        </a:prstGeom>
        <a:ln w="25400"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47000">
                <a:srgbClr val="2F8DAF"/>
              </a:gs>
              <a:gs pos="100000">
                <a:srgbClr val="3E6CC0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19</xdr:row>
      <xdr:rowOff>53932</xdr:rowOff>
    </xdr:from>
    <xdr:to>
      <xdr:col>1</xdr:col>
      <xdr:colOff>9525</xdr:colOff>
      <xdr:row>20</xdr:row>
      <xdr:rowOff>34881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DC3B3042-4272-4A14-8DE9-2D8AA23C0E59}"/>
            </a:ext>
          </a:extLst>
        </xdr:cNvPr>
        <xdr:cNvSpPr/>
      </xdr:nvSpPr>
      <xdr:spPr>
        <a:xfrm>
          <a:off x="0" y="3702007"/>
          <a:ext cx="1781175" cy="1714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lt1">
                  <a:alpha val="53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DEV BY MARCIO SOARES</a:t>
          </a:r>
        </a:p>
      </xdr:txBody>
    </xdr:sp>
    <xdr:clientData/>
  </xdr:twoCellAnchor>
  <xdr:twoCellAnchor editAs="absolute">
    <xdr:from>
      <xdr:col>0</xdr:col>
      <xdr:colOff>709612</xdr:colOff>
      <xdr:row>20</xdr:row>
      <xdr:rowOff>76200</xdr:rowOff>
    </xdr:from>
    <xdr:to>
      <xdr:col>0</xdr:col>
      <xdr:colOff>1071562</xdr:colOff>
      <xdr:row>22</xdr:row>
      <xdr:rowOff>38100</xdr:rowOff>
    </xdr:to>
    <xdr:pic>
      <xdr:nvPicPr>
        <xdr:cNvPr id="9" name="Imagem 8" descr="Linkedin Logo White PNGs for Free Downloa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71C2842-D026-465B-9848-825128383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4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" y="3914775"/>
          <a:ext cx="361950" cy="36195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36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247650</xdr:colOff>
      <xdr:row>14</xdr:row>
      <xdr:rowOff>82387</xdr:rowOff>
    </xdr:from>
    <xdr:to>
      <xdr:col>0</xdr:col>
      <xdr:colOff>1533525</xdr:colOff>
      <xdr:row>16</xdr:row>
      <xdr:rowOff>101437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AD1241-D9A7-458C-9960-566344D87254}"/>
            </a:ext>
          </a:extLst>
        </xdr:cNvPr>
        <xdr:cNvSpPr/>
      </xdr:nvSpPr>
      <xdr:spPr>
        <a:xfrm>
          <a:off x="247650" y="2777962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171449</xdr:colOff>
      <xdr:row>16</xdr:row>
      <xdr:rowOff>142752</xdr:rowOff>
    </xdr:from>
    <xdr:to>
      <xdr:col>0</xdr:col>
      <xdr:colOff>1609725</xdr:colOff>
      <xdr:row>18</xdr:row>
      <xdr:rowOff>161802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451A288-7BDE-43C8-B35D-8F7522BDED8D}"/>
            </a:ext>
          </a:extLst>
        </xdr:cNvPr>
        <xdr:cNvSpPr/>
      </xdr:nvSpPr>
      <xdr:spPr>
        <a:xfrm>
          <a:off x="171449" y="3219327"/>
          <a:ext cx="1438276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RESULTADO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3</xdr:col>
      <xdr:colOff>1371600</xdr:colOff>
      <xdr:row>20</xdr:row>
      <xdr:rowOff>56866</xdr:rowOff>
    </xdr:from>
    <xdr:to>
      <xdr:col>4</xdr:col>
      <xdr:colOff>9525</xdr:colOff>
      <xdr:row>21</xdr:row>
      <xdr:rowOff>126999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728F6DA-99F1-4DA0-D324-E53533F0AB62}"/>
            </a:ext>
          </a:extLst>
        </xdr:cNvPr>
        <xdr:cNvGrpSpPr/>
      </xdr:nvGrpSpPr>
      <xdr:grpSpPr>
        <a:xfrm>
          <a:off x="6400800" y="3895441"/>
          <a:ext cx="1285875" cy="279683"/>
          <a:chOff x="6400800" y="3895441"/>
          <a:chExt cx="1285875" cy="279683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906D890B-86E6-425A-BCC3-394ED285E460}"/>
              </a:ext>
            </a:extLst>
          </xdr:cNvPr>
          <xdr:cNvSpPr/>
        </xdr:nvSpPr>
        <xdr:spPr>
          <a:xfrm>
            <a:off x="6400800" y="3895441"/>
            <a:ext cx="1285875" cy="279683"/>
          </a:xfrm>
          <a:prstGeom prst="roundRect">
            <a:avLst>
              <a:gd name="adj" fmla="val 0"/>
            </a:avLst>
          </a:prstGeom>
          <a:solidFill>
            <a:srgbClr val="365F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PROXIMO</a:t>
            </a:r>
            <a:r>
              <a:rPr lang="pt-BR" sz="1050" baseline="0">
                <a:solidFill>
                  <a:schemeClr val="bg1">
                    <a:lumMod val="6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</a:t>
            </a:r>
            <a:endParaRPr lang="pt-BR" sz="1200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sp macro="" textlink="">
        <xdr:nvSpPr>
          <xdr:cNvPr id="17" name="Seta: Divisa 16">
            <a:extLst>
              <a:ext uri="{FF2B5EF4-FFF2-40B4-BE49-F238E27FC236}">
                <a16:creationId xmlns:a16="http://schemas.microsoft.com/office/drawing/2014/main" id="{EDB241B6-851D-D35B-9A5F-2EB2B042BB94}"/>
              </a:ext>
            </a:extLst>
          </xdr:cNvPr>
          <xdr:cNvSpPr/>
        </xdr:nvSpPr>
        <xdr:spPr>
          <a:xfrm>
            <a:off x="7354854" y="3960012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">
        <xdr:nvSpPr>
          <xdr:cNvPr id="18" name="Seta: Divisa 17">
            <a:extLst>
              <a:ext uri="{FF2B5EF4-FFF2-40B4-BE49-F238E27FC236}">
                <a16:creationId xmlns:a16="http://schemas.microsoft.com/office/drawing/2014/main" id="{27CE8494-12F7-4321-8506-F438A210CAE8}"/>
              </a:ext>
            </a:extLst>
          </xdr:cNvPr>
          <xdr:cNvSpPr/>
        </xdr:nvSpPr>
        <xdr:spPr>
          <a:xfrm>
            <a:off x="7440721" y="3960012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506239</xdr:colOff>
      <xdr:row>2</xdr:row>
      <xdr:rowOff>165139</xdr:rowOff>
    </xdr:from>
    <xdr:to>
      <xdr:col>0</xdr:col>
      <xdr:colOff>1274935</xdr:colOff>
      <xdr:row>7</xdr:row>
      <xdr:rowOff>21902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D2B3EC-091C-492D-8710-74187256D7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75" t="7514" r="24055" b="15606"/>
        <a:stretch>
          <a:fillRect/>
        </a:stretch>
      </xdr:blipFill>
      <xdr:spPr>
        <a:xfrm>
          <a:off x="506239" y="546139"/>
          <a:ext cx="768696" cy="86641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19049</xdr:rowOff>
    </xdr:from>
    <xdr:to>
      <xdr:col>1</xdr:col>
      <xdr:colOff>9525</xdr:colOff>
      <xdr:row>2</xdr:row>
      <xdr:rowOff>123824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8CAA4D8-B9E5-4456-9F75-DAAE3327BAF6}"/>
            </a:ext>
          </a:extLst>
        </xdr:cNvPr>
        <xdr:cNvSpPr/>
      </xdr:nvSpPr>
      <xdr:spPr>
        <a:xfrm>
          <a:off x="0" y="19049"/>
          <a:ext cx="178117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000">
              <a:ln>
                <a:noFill/>
              </a:ln>
              <a:gradFill flip="none" rotWithShape="1">
                <a:gsLst>
                  <a:gs pos="5000">
                    <a:schemeClr val="accent1">
                      <a:lumMod val="20000"/>
                      <a:lumOff val="80000"/>
                    </a:schemeClr>
                  </a:gs>
                  <a:gs pos="46000">
                    <a:srgbClr val="2F8DAF"/>
                  </a:gs>
                  <a:gs pos="81000">
                    <a:srgbClr val="3E6CC0">
                      <a:lumMod val="64000"/>
                      <a:lumOff val="36000"/>
                    </a:srgbClr>
                  </a:gs>
                </a:gsLst>
                <a:lin ang="0" scaled="1"/>
                <a:tileRect/>
              </a:gradFill>
              <a:effectLst>
                <a:glow>
                  <a:schemeClr val="accent1">
                    <a:alpha val="40000"/>
                  </a:schemeClr>
                </a:glow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I.R. APP</a:t>
          </a:r>
        </a:p>
      </xdr:txBody>
    </xdr:sp>
    <xdr:clientData/>
  </xdr:twoCellAnchor>
  <xdr:twoCellAnchor editAs="absolute">
    <xdr:from>
      <xdr:col>0</xdr:col>
      <xdr:colOff>247650</xdr:colOff>
      <xdr:row>7</xdr:row>
      <xdr:rowOff>63217</xdr:rowOff>
    </xdr:from>
    <xdr:to>
      <xdr:col>0</xdr:col>
      <xdr:colOff>1533525</xdr:colOff>
      <xdr:row>9</xdr:row>
      <xdr:rowOff>82267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419C41-6FCC-43EB-A1E8-CBE258E787B1}"/>
            </a:ext>
          </a:extLst>
        </xdr:cNvPr>
        <xdr:cNvSpPr/>
      </xdr:nvSpPr>
      <xdr:spPr>
        <a:xfrm>
          <a:off x="247650" y="1453867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247650</xdr:colOff>
      <xdr:row>9</xdr:row>
      <xdr:rowOff>123582</xdr:rowOff>
    </xdr:from>
    <xdr:to>
      <xdr:col>0</xdr:col>
      <xdr:colOff>1533525</xdr:colOff>
      <xdr:row>11</xdr:row>
      <xdr:rowOff>123582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79C367-BF90-4DD2-A418-0194EF26C240}"/>
            </a:ext>
          </a:extLst>
        </xdr:cNvPr>
        <xdr:cNvSpPr/>
      </xdr:nvSpPr>
      <xdr:spPr>
        <a:xfrm>
          <a:off x="247650" y="1895232"/>
          <a:ext cx="1285875" cy="40005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46000">
              <a:srgbClr val="2F8DAF"/>
            </a:gs>
            <a:gs pos="81000">
              <a:srgbClr val="3E6CC0">
                <a:lumMod val="64000"/>
                <a:lumOff val="36000"/>
              </a:srgb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11</xdr:row>
      <xdr:rowOff>164897</xdr:rowOff>
    </xdr:from>
    <xdr:to>
      <xdr:col>0</xdr:col>
      <xdr:colOff>1743074</xdr:colOff>
      <xdr:row>13</xdr:row>
      <xdr:rowOff>164897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1EAE6F-9D5D-4828-B8E0-F98E8463BEB3}"/>
            </a:ext>
          </a:extLst>
        </xdr:cNvPr>
        <xdr:cNvSpPr/>
      </xdr:nvSpPr>
      <xdr:spPr>
        <a:xfrm>
          <a:off x="38100" y="2336597"/>
          <a:ext cx="170497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RENDIMENTOS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142875</xdr:colOff>
      <xdr:row>18</xdr:row>
      <xdr:rowOff>98342</xdr:rowOff>
    </xdr:from>
    <xdr:to>
      <xdr:col>0</xdr:col>
      <xdr:colOff>1638300</xdr:colOff>
      <xdr:row>18</xdr:row>
      <xdr:rowOff>98342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AF77475-ACF3-4E5F-B02D-8E77A5A65C0C}"/>
            </a:ext>
          </a:extLst>
        </xdr:cNvPr>
        <xdr:cNvCxnSpPr/>
      </xdr:nvCxnSpPr>
      <xdr:spPr>
        <a:xfrm>
          <a:off x="142875" y="3660692"/>
          <a:ext cx="1495425" cy="0"/>
        </a:xfrm>
        <a:prstGeom prst="line">
          <a:avLst/>
        </a:prstGeom>
        <a:ln w="25400"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47000">
                <a:srgbClr val="2F8DAF"/>
              </a:gs>
              <a:gs pos="100000">
                <a:srgbClr val="3E6CC0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18</xdr:row>
      <xdr:rowOff>139657</xdr:rowOff>
    </xdr:from>
    <xdr:to>
      <xdr:col>1</xdr:col>
      <xdr:colOff>9525</xdr:colOff>
      <xdr:row>19</xdr:row>
      <xdr:rowOff>120606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3F1E55F-0F50-4769-8712-96A3DA97BBCC}"/>
            </a:ext>
          </a:extLst>
        </xdr:cNvPr>
        <xdr:cNvSpPr/>
      </xdr:nvSpPr>
      <xdr:spPr>
        <a:xfrm>
          <a:off x="0" y="3702007"/>
          <a:ext cx="1781175" cy="1714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lt1">
                  <a:alpha val="53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DEV BY MARCIO SOARES</a:t>
          </a:r>
        </a:p>
      </xdr:txBody>
    </xdr:sp>
    <xdr:clientData/>
  </xdr:twoCellAnchor>
  <xdr:twoCellAnchor editAs="absolute">
    <xdr:from>
      <xdr:col>0</xdr:col>
      <xdr:colOff>709612</xdr:colOff>
      <xdr:row>19</xdr:row>
      <xdr:rowOff>161925</xdr:rowOff>
    </xdr:from>
    <xdr:to>
      <xdr:col>0</xdr:col>
      <xdr:colOff>1071562</xdr:colOff>
      <xdr:row>21</xdr:row>
      <xdr:rowOff>123825</xdr:rowOff>
    </xdr:to>
    <xdr:pic>
      <xdr:nvPicPr>
        <xdr:cNvPr id="9" name="Imagem 8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3338BC-0F53-4B42-AD15-A28A90A23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4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" y="3914775"/>
          <a:ext cx="361950" cy="36195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36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247650</xdr:colOff>
      <xdr:row>14</xdr:row>
      <xdr:rowOff>15712</xdr:rowOff>
    </xdr:from>
    <xdr:to>
      <xdr:col>0</xdr:col>
      <xdr:colOff>1533525</xdr:colOff>
      <xdr:row>16</xdr:row>
      <xdr:rowOff>15712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4BCAB49-D902-435C-A5D8-4EB0B2C7377E}"/>
            </a:ext>
          </a:extLst>
        </xdr:cNvPr>
        <xdr:cNvSpPr/>
      </xdr:nvSpPr>
      <xdr:spPr>
        <a:xfrm>
          <a:off x="247650" y="2777962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171449</xdr:colOff>
      <xdr:row>16</xdr:row>
      <xdr:rowOff>57027</xdr:rowOff>
    </xdr:from>
    <xdr:to>
      <xdr:col>0</xdr:col>
      <xdr:colOff>1609725</xdr:colOff>
      <xdr:row>18</xdr:row>
      <xdr:rowOff>57027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A51813B-E453-4CEE-A277-BD96E8846525}"/>
            </a:ext>
          </a:extLst>
        </xdr:cNvPr>
        <xdr:cNvSpPr/>
      </xdr:nvSpPr>
      <xdr:spPr>
        <a:xfrm>
          <a:off x="171449" y="3219327"/>
          <a:ext cx="1438276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RESULTADO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3</xdr:col>
      <xdr:colOff>904875</xdr:colOff>
      <xdr:row>21</xdr:row>
      <xdr:rowOff>47625</xdr:rowOff>
    </xdr:from>
    <xdr:to>
      <xdr:col>4</xdr:col>
      <xdr:colOff>9525</xdr:colOff>
      <xdr:row>22</xdr:row>
      <xdr:rowOff>136808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909F1959-5142-430C-B692-948095D9F138}"/>
            </a:ext>
          </a:extLst>
        </xdr:cNvPr>
        <xdr:cNvGrpSpPr/>
      </xdr:nvGrpSpPr>
      <xdr:grpSpPr>
        <a:xfrm>
          <a:off x="5467350" y="4200525"/>
          <a:ext cx="1285875" cy="279683"/>
          <a:chOff x="6400800" y="3895441"/>
          <a:chExt cx="1285875" cy="279683"/>
        </a:xfrm>
      </xdr:grpSpPr>
      <xdr:sp macro="" textlink="">
        <xdr:nvSpPr>
          <xdr:cNvPr id="13" name="Retângulo: Cantos Arredondados 1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99D809D-A94D-27A7-6F18-3617F39A7698}"/>
              </a:ext>
            </a:extLst>
          </xdr:cNvPr>
          <xdr:cNvSpPr/>
        </xdr:nvSpPr>
        <xdr:spPr>
          <a:xfrm>
            <a:off x="6400800" y="3895441"/>
            <a:ext cx="1285875" cy="279683"/>
          </a:xfrm>
          <a:prstGeom prst="roundRect">
            <a:avLst>
              <a:gd name="adj" fmla="val 0"/>
            </a:avLst>
          </a:prstGeom>
          <a:solidFill>
            <a:srgbClr val="365F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PROXIMO</a:t>
            </a:r>
            <a:r>
              <a:rPr lang="pt-BR" sz="1050" baseline="0">
                <a:solidFill>
                  <a:schemeClr val="bg1">
                    <a:lumMod val="6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</a:t>
            </a:r>
            <a:endParaRPr lang="pt-BR" sz="1200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sp macro="" textlink="">
        <xdr:nvSpPr>
          <xdr:cNvPr id="14" name="Seta: Divisa 13">
            <a:extLst>
              <a:ext uri="{FF2B5EF4-FFF2-40B4-BE49-F238E27FC236}">
                <a16:creationId xmlns:a16="http://schemas.microsoft.com/office/drawing/2014/main" id="{0A3F6488-E472-8494-6575-3FDE4F1E3290}"/>
              </a:ext>
            </a:extLst>
          </xdr:cNvPr>
          <xdr:cNvSpPr/>
        </xdr:nvSpPr>
        <xdr:spPr>
          <a:xfrm>
            <a:off x="7354854" y="3960012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Seta: Divisa 14">
            <a:extLst>
              <a:ext uri="{FF2B5EF4-FFF2-40B4-BE49-F238E27FC236}">
                <a16:creationId xmlns:a16="http://schemas.microsoft.com/office/drawing/2014/main" id="{D01AEE40-863B-484F-C252-696A8E754C1B}"/>
              </a:ext>
            </a:extLst>
          </xdr:cNvPr>
          <xdr:cNvSpPr/>
        </xdr:nvSpPr>
        <xdr:spPr>
          <a:xfrm>
            <a:off x="7440721" y="3960012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600075</xdr:colOff>
      <xdr:row>21</xdr:row>
      <xdr:rowOff>47625</xdr:rowOff>
    </xdr:from>
    <xdr:to>
      <xdr:col>2</xdr:col>
      <xdr:colOff>1276350</xdr:colOff>
      <xdr:row>22</xdr:row>
      <xdr:rowOff>136808</xdr:rowOff>
    </xdr:to>
    <xdr:grpSp>
      <xdr:nvGrpSpPr>
        <xdr:cNvPr id="20" name="Agrupar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6519F8-E394-4FDF-4903-2E2B3ACB3E0C}"/>
            </a:ext>
          </a:extLst>
        </xdr:cNvPr>
        <xdr:cNvGrpSpPr/>
      </xdr:nvGrpSpPr>
      <xdr:grpSpPr>
        <a:xfrm>
          <a:off x="2371725" y="4200525"/>
          <a:ext cx="1285875" cy="279683"/>
          <a:chOff x="5619750" y="4362450"/>
          <a:chExt cx="1285875" cy="279683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B03B5D5E-24E0-DE8D-CEFF-406E52F697F6}"/>
              </a:ext>
            </a:extLst>
          </xdr:cNvPr>
          <xdr:cNvSpPr/>
        </xdr:nvSpPr>
        <xdr:spPr>
          <a:xfrm>
            <a:off x="5619750" y="4362450"/>
            <a:ext cx="1285875" cy="279683"/>
          </a:xfrm>
          <a:prstGeom prst="roundRect">
            <a:avLst>
              <a:gd name="adj" fmla="val 0"/>
            </a:avLst>
          </a:prstGeom>
          <a:solidFill>
            <a:srgbClr val="365F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baseline="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ANTERIOR</a:t>
            </a:r>
            <a:r>
              <a:rPr lang="pt-BR" sz="1050" baseline="0">
                <a:solidFill>
                  <a:schemeClr val="bg1">
                    <a:lumMod val="6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</a:t>
            </a:r>
            <a:endParaRPr lang="pt-BR" sz="1200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sp macro="" textlink="">
        <xdr:nvSpPr>
          <xdr:cNvPr id="18" name="Seta: Divisa 17">
            <a:extLst>
              <a:ext uri="{FF2B5EF4-FFF2-40B4-BE49-F238E27FC236}">
                <a16:creationId xmlns:a16="http://schemas.microsoft.com/office/drawing/2014/main" id="{4423D5AB-600E-112D-D6CB-A57611995A6E}"/>
              </a:ext>
            </a:extLst>
          </xdr:cNvPr>
          <xdr:cNvSpPr/>
        </xdr:nvSpPr>
        <xdr:spPr>
          <a:xfrm rot="10800000">
            <a:off x="5745129" y="4427021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">
        <xdr:nvSpPr>
          <xdr:cNvPr id="19" name="Seta: Divisa 18">
            <a:extLst>
              <a:ext uri="{FF2B5EF4-FFF2-40B4-BE49-F238E27FC236}">
                <a16:creationId xmlns:a16="http://schemas.microsoft.com/office/drawing/2014/main" id="{8547A13E-C355-38C2-B4CF-CF986F06F915}"/>
              </a:ext>
            </a:extLst>
          </xdr:cNvPr>
          <xdr:cNvSpPr/>
        </xdr:nvSpPr>
        <xdr:spPr>
          <a:xfrm rot="10800000">
            <a:off x="5830996" y="4427021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506239</xdr:colOff>
      <xdr:row>2</xdr:row>
      <xdr:rowOff>165139</xdr:rowOff>
    </xdr:from>
    <xdr:to>
      <xdr:col>0</xdr:col>
      <xdr:colOff>1274935</xdr:colOff>
      <xdr:row>7</xdr:row>
      <xdr:rowOff>31427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662441-F4E6-490D-B5DD-B8E1F7D7A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75" t="7514" r="24055" b="15606"/>
        <a:stretch>
          <a:fillRect/>
        </a:stretch>
      </xdr:blipFill>
      <xdr:spPr>
        <a:xfrm>
          <a:off x="506239" y="546139"/>
          <a:ext cx="768696" cy="86641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19049</xdr:rowOff>
    </xdr:from>
    <xdr:to>
      <xdr:col>1</xdr:col>
      <xdr:colOff>9525</xdr:colOff>
      <xdr:row>2</xdr:row>
      <xdr:rowOff>123824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0DA599E-7E95-4863-ACA2-41D7B8641D94}"/>
            </a:ext>
          </a:extLst>
        </xdr:cNvPr>
        <xdr:cNvSpPr/>
      </xdr:nvSpPr>
      <xdr:spPr>
        <a:xfrm>
          <a:off x="0" y="19049"/>
          <a:ext cx="178117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000">
              <a:ln>
                <a:noFill/>
              </a:ln>
              <a:gradFill flip="none" rotWithShape="1">
                <a:gsLst>
                  <a:gs pos="5000">
                    <a:schemeClr val="accent1">
                      <a:lumMod val="20000"/>
                      <a:lumOff val="80000"/>
                    </a:schemeClr>
                  </a:gs>
                  <a:gs pos="46000">
                    <a:srgbClr val="2F8DAF"/>
                  </a:gs>
                  <a:gs pos="81000">
                    <a:srgbClr val="3E6CC0">
                      <a:lumMod val="64000"/>
                      <a:lumOff val="36000"/>
                    </a:srgbClr>
                  </a:gs>
                </a:gsLst>
                <a:lin ang="0" scaled="1"/>
                <a:tileRect/>
              </a:gradFill>
              <a:effectLst>
                <a:glow>
                  <a:schemeClr val="accent1">
                    <a:alpha val="40000"/>
                  </a:schemeClr>
                </a:glow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I.R. APP</a:t>
          </a:r>
        </a:p>
      </xdr:txBody>
    </xdr:sp>
    <xdr:clientData/>
  </xdr:twoCellAnchor>
  <xdr:twoCellAnchor editAs="absolute">
    <xdr:from>
      <xdr:col>0</xdr:col>
      <xdr:colOff>247650</xdr:colOff>
      <xdr:row>7</xdr:row>
      <xdr:rowOff>72742</xdr:rowOff>
    </xdr:from>
    <xdr:to>
      <xdr:col>0</xdr:col>
      <xdr:colOff>1533525</xdr:colOff>
      <xdr:row>9</xdr:row>
      <xdr:rowOff>91792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0D5CA8-B697-403F-8D70-C4F0B5FDC2FA}"/>
            </a:ext>
          </a:extLst>
        </xdr:cNvPr>
        <xdr:cNvSpPr/>
      </xdr:nvSpPr>
      <xdr:spPr>
        <a:xfrm>
          <a:off x="247650" y="1453867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247650</xdr:colOff>
      <xdr:row>9</xdr:row>
      <xdr:rowOff>133107</xdr:rowOff>
    </xdr:from>
    <xdr:to>
      <xdr:col>0</xdr:col>
      <xdr:colOff>1533525</xdr:colOff>
      <xdr:row>11</xdr:row>
      <xdr:rowOff>152157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23DD54-AF30-4821-A9C0-B7E2A00A6CC0}"/>
            </a:ext>
          </a:extLst>
        </xdr:cNvPr>
        <xdr:cNvSpPr/>
      </xdr:nvSpPr>
      <xdr:spPr>
        <a:xfrm>
          <a:off x="247650" y="1895232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12</xdr:row>
      <xdr:rowOff>2972</xdr:rowOff>
    </xdr:from>
    <xdr:to>
      <xdr:col>0</xdr:col>
      <xdr:colOff>1743074</xdr:colOff>
      <xdr:row>14</xdr:row>
      <xdr:rowOff>22022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F842C2-5859-4859-AFD4-B05ECF02386A}"/>
            </a:ext>
          </a:extLst>
        </xdr:cNvPr>
        <xdr:cNvSpPr/>
      </xdr:nvSpPr>
      <xdr:spPr>
        <a:xfrm>
          <a:off x="38100" y="2336597"/>
          <a:ext cx="1704974" cy="40005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46000">
              <a:srgbClr val="2F8DAF"/>
            </a:gs>
            <a:gs pos="81000">
              <a:srgbClr val="3E6CC0">
                <a:lumMod val="64000"/>
                <a:lumOff val="36000"/>
              </a:srgb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RENDIMENTOS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142875</xdr:colOff>
      <xdr:row>18</xdr:row>
      <xdr:rowOff>184067</xdr:rowOff>
    </xdr:from>
    <xdr:to>
      <xdr:col>0</xdr:col>
      <xdr:colOff>1638300</xdr:colOff>
      <xdr:row>18</xdr:row>
      <xdr:rowOff>184067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E153B417-C8CE-481F-94A2-DF6350C99A21}"/>
            </a:ext>
          </a:extLst>
        </xdr:cNvPr>
        <xdr:cNvCxnSpPr/>
      </xdr:nvCxnSpPr>
      <xdr:spPr>
        <a:xfrm>
          <a:off x="142875" y="3660692"/>
          <a:ext cx="1495425" cy="0"/>
        </a:xfrm>
        <a:prstGeom prst="line">
          <a:avLst/>
        </a:prstGeom>
        <a:ln w="25400"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47000">
                <a:srgbClr val="2F8DAF"/>
              </a:gs>
              <a:gs pos="100000">
                <a:srgbClr val="3E6CC0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19</xdr:row>
      <xdr:rowOff>34882</xdr:rowOff>
    </xdr:from>
    <xdr:to>
      <xdr:col>1</xdr:col>
      <xdr:colOff>9525</xdr:colOff>
      <xdr:row>20</xdr:row>
      <xdr:rowOff>15831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14C47F3D-5709-4B5F-BE8C-6634C3DDA1CD}"/>
            </a:ext>
          </a:extLst>
        </xdr:cNvPr>
        <xdr:cNvSpPr/>
      </xdr:nvSpPr>
      <xdr:spPr>
        <a:xfrm>
          <a:off x="0" y="3702007"/>
          <a:ext cx="1781175" cy="1714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lt1">
                  <a:alpha val="53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DEV BY MARCIO SOARES</a:t>
          </a:r>
        </a:p>
      </xdr:txBody>
    </xdr:sp>
    <xdr:clientData/>
  </xdr:twoCellAnchor>
  <xdr:twoCellAnchor editAs="absolute">
    <xdr:from>
      <xdr:col>0</xdr:col>
      <xdr:colOff>709612</xdr:colOff>
      <xdr:row>20</xdr:row>
      <xdr:rowOff>57150</xdr:rowOff>
    </xdr:from>
    <xdr:to>
      <xdr:col>0</xdr:col>
      <xdr:colOff>1071562</xdr:colOff>
      <xdr:row>22</xdr:row>
      <xdr:rowOff>38100</xdr:rowOff>
    </xdr:to>
    <xdr:pic>
      <xdr:nvPicPr>
        <xdr:cNvPr id="9" name="Imagem 8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00163E-F209-4FFB-B885-65E7A7864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4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" y="3914775"/>
          <a:ext cx="361950" cy="36195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36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247650</xdr:colOff>
      <xdr:row>14</xdr:row>
      <xdr:rowOff>63337</xdr:rowOff>
    </xdr:from>
    <xdr:to>
      <xdr:col>0</xdr:col>
      <xdr:colOff>1533525</xdr:colOff>
      <xdr:row>16</xdr:row>
      <xdr:rowOff>82387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78F9F7A-262D-4416-B22E-D1F4E8E8F18C}"/>
            </a:ext>
          </a:extLst>
        </xdr:cNvPr>
        <xdr:cNvSpPr/>
      </xdr:nvSpPr>
      <xdr:spPr>
        <a:xfrm>
          <a:off x="247650" y="2777962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171449</xdr:colOff>
      <xdr:row>16</xdr:row>
      <xdr:rowOff>123702</xdr:rowOff>
    </xdr:from>
    <xdr:to>
      <xdr:col>0</xdr:col>
      <xdr:colOff>1609725</xdr:colOff>
      <xdr:row>18</xdr:row>
      <xdr:rowOff>142752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C7D5887-53F3-4B37-A70A-78E655002889}"/>
            </a:ext>
          </a:extLst>
        </xdr:cNvPr>
        <xdr:cNvSpPr/>
      </xdr:nvSpPr>
      <xdr:spPr>
        <a:xfrm>
          <a:off x="171449" y="3219327"/>
          <a:ext cx="1438276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RESULTADO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3</xdr:col>
      <xdr:colOff>1809750</xdr:colOff>
      <xdr:row>20</xdr:row>
      <xdr:rowOff>38100</xdr:rowOff>
    </xdr:from>
    <xdr:to>
      <xdr:col>5</xdr:col>
      <xdr:colOff>0</xdr:colOff>
      <xdr:row>21</xdr:row>
      <xdr:rowOff>127283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AE7C120E-FE02-4F24-B457-A924AC0524D4}"/>
            </a:ext>
          </a:extLst>
        </xdr:cNvPr>
        <xdr:cNvGrpSpPr/>
      </xdr:nvGrpSpPr>
      <xdr:grpSpPr>
        <a:xfrm>
          <a:off x="6372225" y="3895725"/>
          <a:ext cx="1285875" cy="279683"/>
          <a:chOff x="6400800" y="3895441"/>
          <a:chExt cx="1285875" cy="279683"/>
        </a:xfrm>
      </xdr:grpSpPr>
      <xdr:sp macro="" textlink="">
        <xdr:nvSpPr>
          <xdr:cNvPr id="13" name="Retângulo: Cantos Arredondados 1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4D534534-092C-9328-A869-302DB3C2373B}"/>
              </a:ext>
            </a:extLst>
          </xdr:cNvPr>
          <xdr:cNvSpPr/>
        </xdr:nvSpPr>
        <xdr:spPr>
          <a:xfrm>
            <a:off x="6400800" y="3895441"/>
            <a:ext cx="1285875" cy="279683"/>
          </a:xfrm>
          <a:prstGeom prst="roundRect">
            <a:avLst>
              <a:gd name="adj" fmla="val 0"/>
            </a:avLst>
          </a:prstGeom>
          <a:solidFill>
            <a:srgbClr val="365F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PROXIMO</a:t>
            </a:r>
            <a:r>
              <a:rPr lang="pt-BR" sz="1050" baseline="0">
                <a:solidFill>
                  <a:schemeClr val="bg1">
                    <a:lumMod val="6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</a:t>
            </a:r>
            <a:endParaRPr lang="pt-BR" sz="1200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sp macro="" textlink="">
        <xdr:nvSpPr>
          <xdr:cNvPr id="14" name="Seta: Divisa 13">
            <a:extLst>
              <a:ext uri="{FF2B5EF4-FFF2-40B4-BE49-F238E27FC236}">
                <a16:creationId xmlns:a16="http://schemas.microsoft.com/office/drawing/2014/main" id="{537735A9-AC41-EEF0-E726-9A2AA2209E59}"/>
              </a:ext>
            </a:extLst>
          </xdr:cNvPr>
          <xdr:cNvSpPr/>
        </xdr:nvSpPr>
        <xdr:spPr>
          <a:xfrm>
            <a:off x="7354854" y="3960012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Seta: Divisa 14">
            <a:extLst>
              <a:ext uri="{FF2B5EF4-FFF2-40B4-BE49-F238E27FC236}">
                <a16:creationId xmlns:a16="http://schemas.microsoft.com/office/drawing/2014/main" id="{05F2A569-6B7D-1634-0542-F6C682FAECE7}"/>
              </a:ext>
            </a:extLst>
          </xdr:cNvPr>
          <xdr:cNvSpPr/>
        </xdr:nvSpPr>
        <xdr:spPr>
          <a:xfrm>
            <a:off x="7440721" y="3960012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0</xdr:colOff>
      <xdr:row>20</xdr:row>
      <xdr:rowOff>38100</xdr:rowOff>
    </xdr:from>
    <xdr:to>
      <xdr:col>2</xdr:col>
      <xdr:colOff>1285875</xdr:colOff>
      <xdr:row>21</xdr:row>
      <xdr:rowOff>127283</xdr:rowOff>
    </xdr:to>
    <xdr:grpSp>
      <xdr:nvGrpSpPr>
        <xdr:cNvPr id="16" name="Agrupar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19B61A-65EE-491E-A2B4-F32565ABE512}"/>
            </a:ext>
          </a:extLst>
        </xdr:cNvPr>
        <xdr:cNvGrpSpPr/>
      </xdr:nvGrpSpPr>
      <xdr:grpSpPr>
        <a:xfrm>
          <a:off x="2381250" y="3895725"/>
          <a:ext cx="1285875" cy="279683"/>
          <a:chOff x="5619750" y="4362450"/>
          <a:chExt cx="1285875" cy="279683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855ACCAC-F21F-2901-701B-3930BD1FFE97}"/>
              </a:ext>
            </a:extLst>
          </xdr:cNvPr>
          <xdr:cNvSpPr/>
        </xdr:nvSpPr>
        <xdr:spPr>
          <a:xfrm>
            <a:off x="5619750" y="4362450"/>
            <a:ext cx="1285875" cy="279683"/>
          </a:xfrm>
          <a:prstGeom prst="roundRect">
            <a:avLst>
              <a:gd name="adj" fmla="val 0"/>
            </a:avLst>
          </a:prstGeom>
          <a:solidFill>
            <a:srgbClr val="365F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baseline="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ANTERIOR</a:t>
            </a:r>
            <a:r>
              <a:rPr lang="pt-BR" sz="1050" baseline="0">
                <a:solidFill>
                  <a:schemeClr val="bg1">
                    <a:lumMod val="6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</a:t>
            </a:r>
            <a:endParaRPr lang="pt-BR" sz="1200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sp macro="" textlink="">
        <xdr:nvSpPr>
          <xdr:cNvPr id="18" name="Seta: Divisa 17">
            <a:extLst>
              <a:ext uri="{FF2B5EF4-FFF2-40B4-BE49-F238E27FC236}">
                <a16:creationId xmlns:a16="http://schemas.microsoft.com/office/drawing/2014/main" id="{963EF5CF-5A30-42A1-F41C-6BE825E65196}"/>
              </a:ext>
            </a:extLst>
          </xdr:cNvPr>
          <xdr:cNvSpPr/>
        </xdr:nvSpPr>
        <xdr:spPr>
          <a:xfrm rot="10800000">
            <a:off x="5745129" y="4427021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">
        <xdr:nvSpPr>
          <xdr:cNvPr id="19" name="Seta: Divisa 18">
            <a:extLst>
              <a:ext uri="{FF2B5EF4-FFF2-40B4-BE49-F238E27FC236}">
                <a16:creationId xmlns:a16="http://schemas.microsoft.com/office/drawing/2014/main" id="{99E71BE4-F35F-A01E-0841-885BB208A429}"/>
              </a:ext>
            </a:extLst>
          </xdr:cNvPr>
          <xdr:cNvSpPr/>
        </xdr:nvSpPr>
        <xdr:spPr>
          <a:xfrm rot="10800000">
            <a:off x="5830996" y="4427021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506239</xdr:colOff>
      <xdr:row>2</xdr:row>
      <xdr:rowOff>165139</xdr:rowOff>
    </xdr:from>
    <xdr:to>
      <xdr:col>0</xdr:col>
      <xdr:colOff>1274935</xdr:colOff>
      <xdr:row>7</xdr:row>
      <xdr:rowOff>31427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88C2D8-9D31-47DC-80B3-494AC45335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75" t="7514" r="24055" b="15606"/>
        <a:stretch>
          <a:fillRect/>
        </a:stretch>
      </xdr:blipFill>
      <xdr:spPr>
        <a:xfrm>
          <a:off x="506239" y="546139"/>
          <a:ext cx="768696" cy="86641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19049</xdr:rowOff>
    </xdr:from>
    <xdr:to>
      <xdr:col>1</xdr:col>
      <xdr:colOff>9525</xdr:colOff>
      <xdr:row>2</xdr:row>
      <xdr:rowOff>123824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07B26A5-543B-4336-86FE-2512730153A8}"/>
            </a:ext>
          </a:extLst>
        </xdr:cNvPr>
        <xdr:cNvSpPr/>
      </xdr:nvSpPr>
      <xdr:spPr>
        <a:xfrm>
          <a:off x="0" y="19049"/>
          <a:ext cx="178117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000">
              <a:ln>
                <a:noFill/>
              </a:ln>
              <a:gradFill flip="none" rotWithShape="1">
                <a:gsLst>
                  <a:gs pos="5000">
                    <a:schemeClr val="accent1">
                      <a:lumMod val="20000"/>
                      <a:lumOff val="80000"/>
                    </a:schemeClr>
                  </a:gs>
                  <a:gs pos="46000">
                    <a:srgbClr val="2F8DAF"/>
                  </a:gs>
                  <a:gs pos="81000">
                    <a:srgbClr val="3E6CC0">
                      <a:lumMod val="64000"/>
                      <a:lumOff val="36000"/>
                    </a:srgbClr>
                  </a:gs>
                </a:gsLst>
                <a:lin ang="0" scaled="1"/>
                <a:tileRect/>
              </a:gradFill>
              <a:effectLst>
                <a:glow>
                  <a:schemeClr val="accent1">
                    <a:alpha val="40000"/>
                  </a:schemeClr>
                </a:glow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I.R. APP</a:t>
          </a:r>
        </a:p>
      </xdr:txBody>
    </xdr:sp>
    <xdr:clientData/>
  </xdr:twoCellAnchor>
  <xdr:twoCellAnchor editAs="absolute">
    <xdr:from>
      <xdr:col>0</xdr:col>
      <xdr:colOff>247650</xdr:colOff>
      <xdr:row>7</xdr:row>
      <xdr:rowOff>72742</xdr:rowOff>
    </xdr:from>
    <xdr:to>
      <xdr:col>0</xdr:col>
      <xdr:colOff>1533525</xdr:colOff>
      <xdr:row>9</xdr:row>
      <xdr:rowOff>91792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C39A0C-2836-4AED-9A94-C03CE57A8B82}"/>
            </a:ext>
          </a:extLst>
        </xdr:cNvPr>
        <xdr:cNvSpPr/>
      </xdr:nvSpPr>
      <xdr:spPr>
        <a:xfrm>
          <a:off x="247650" y="1453867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247650</xdr:colOff>
      <xdr:row>9</xdr:row>
      <xdr:rowOff>133107</xdr:rowOff>
    </xdr:from>
    <xdr:to>
      <xdr:col>0</xdr:col>
      <xdr:colOff>1533525</xdr:colOff>
      <xdr:row>11</xdr:row>
      <xdr:rowOff>152157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5198A9-FFB2-4217-8BE3-8D123854E3C7}"/>
            </a:ext>
          </a:extLst>
        </xdr:cNvPr>
        <xdr:cNvSpPr/>
      </xdr:nvSpPr>
      <xdr:spPr>
        <a:xfrm>
          <a:off x="247650" y="1895232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12</xdr:row>
      <xdr:rowOff>2972</xdr:rowOff>
    </xdr:from>
    <xdr:to>
      <xdr:col>0</xdr:col>
      <xdr:colOff>1743074</xdr:colOff>
      <xdr:row>14</xdr:row>
      <xdr:rowOff>22022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BF2C98-5705-441F-8B97-E4BF172E40CD}"/>
            </a:ext>
          </a:extLst>
        </xdr:cNvPr>
        <xdr:cNvSpPr/>
      </xdr:nvSpPr>
      <xdr:spPr>
        <a:xfrm>
          <a:off x="38100" y="2336597"/>
          <a:ext cx="170497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RENDIMENTOS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142875</xdr:colOff>
      <xdr:row>18</xdr:row>
      <xdr:rowOff>184067</xdr:rowOff>
    </xdr:from>
    <xdr:to>
      <xdr:col>0</xdr:col>
      <xdr:colOff>1638300</xdr:colOff>
      <xdr:row>18</xdr:row>
      <xdr:rowOff>184067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3B5BC23-9896-4019-8A88-A24278256090}"/>
            </a:ext>
          </a:extLst>
        </xdr:cNvPr>
        <xdr:cNvCxnSpPr/>
      </xdr:nvCxnSpPr>
      <xdr:spPr>
        <a:xfrm>
          <a:off x="142875" y="3660692"/>
          <a:ext cx="1495425" cy="0"/>
        </a:xfrm>
        <a:prstGeom prst="line">
          <a:avLst/>
        </a:prstGeom>
        <a:ln w="25400"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47000">
                <a:srgbClr val="2F8DAF"/>
              </a:gs>
              <a:gs pos="100000">
                <a:srgbClr val="3E6CC0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19</xdr:row>
      <xdr:rowOff>34882</xdr:rowOff>
    </xdr:from>
    <xdr:to>
      <xdr:col>1</xdr:col>
      <xdr:colOff>9525</xdr:colOff>
      <xdr:row>20</xdr:row>
      <xdr:rowOff>15831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C840728-5DBD-4B45-81D7-59D718527114}"/>
            </a:ext>
          </a:extLst>
        </xdr:cNvPr>
        <xdr:cNvSpPr/>
      </xdr:nvSpPr>
      <xdr:spPr>
        <a:xfrm>
          <a:off x="0" y="3702007"/>
          <a:ext cx="1781175" cy="1714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lt1">
                  <a:alpha val="53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DEV BY MARCIO SOARES</a:t>
          </a:r>
        </a:p>
      </xdr:txBody>
    </xdr:sp>
    <xdr:clientData/>
  </xdr:twoCellAnchor>
  <xdr:twoCellAnchor editAs="absolute">
    <xdr:from>
      <xdr:col>0</xdr:col>
      <xdr:colOff>709612</xdr:colOff>
      <xdr:row>20</xdr:row>
      <xdr:rowOff>57150</xdr:rowOff>
    </xdr:from>
    <xdr:to>
      <xdr:col>0</xdr:col>
      <xdr:colOff>1071562</xdr:colOff>
      <xdr:row>22</xdr:row>
      <xdr:rowOff>38100</xdr:rowOff>
    </xdr:to>
    <xdr:pic>
      <xdr:nvPicPr>
        <xdr:cNvPr id="9" name="Imagem 8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22E7F4-9B24-4EB7-BF68-CAD192C1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4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" y="3914775"/>
          <a:ext cx="361950" cy="36195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36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247650</xdr:colOff>
      <xdr:row>14</xdr:row>
      <xdr:rowOff>63337</xdr:rowOff>
    </xdr:from>
    <xdr:to>
      <xdr:col>0</xdr:col>
      <xdr:colOff>1533525</xdr:colOff>
      <xdr:row>16</xdr:row>
      <xdr:rowOff>82387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EE5A29-C124-444A-BD5F-ADFA65AC9AD3}"/>
            </a:ext>
          </a:extLst>
        </xdr:cNvPr>
        <xdr:cNvSpPr/>
      </xdr:nvSpPr>
      <xdr:spPr>
        <a:xfrm>
          <a:off x="247650" y="2777962"/>
          <a:ext cx="1285875" cy="40005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46000">
              <a:srgbClr val="2F8DAF"/>
            </a:gs>
            <a:gs pos="81000">
              <a:srgbClr val="3E6CC0">
                <a:lumMod val="64000"/>
                <a:lumOff val="36000"/>
              </a:srgb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171449</xdr:colOff>
      <xdr:row>16</xdr:row>
      <xdr:rowOff>123702</xdr:rowOff>
    </xdr:from>
    <xdr:to>
      <xdr:col>0</xdr:col>
      <xdr:colOff>1609725</xdr:colOff>
      <xdr:row>18</xdr:row>
      <xdr:rowOff>142752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3800A4-D07C-4550-8451-0B41486A343B}"/>
            </a:ext>
          </a:extLst>
        </xdr:cNvPr>
        <xdr:cNvSpPr/>
      </xdr:nvSpPr>
      <xdr:spPr>
        <a:xfrm>
          <a:off x="171449" y="3219327"/>
          <a:ext cx="1438276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RESULTADO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3</xdr:col>
      <xdr:colOff>1800225</xdr:colOff>
      <xdr:row>20</xdr:row>
      <xdr:rowOff>47625</xdr:rowOff>
    </xdr:from>
    <xdr:to>
      <xdr:col>5</xdr:col>
      <xdr:colOff>9525</xdr:colOff>
      <xdr:row>21</xdr:row>
      <xdr:rowOff>136808</xdr:rowOff>
    </xdr:to>
    <xdr:grpSp>
      <xdr:nvGrpSpPr>
        <xdr:cNvPr id="12" name="Agrupar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D0E9ED3-F20F-45AD-9713-8EB389281199}"/>
            </a:ext>
          </a:extLst>
        </xdr:cNvPr>
        <xdr:cNvGrpSpPr/>
      </xdr:nvGrpSpPr>
      <xdr:grpSpPr>
        <a:xfrm>
          <a:off x="6362700" y="3905250"/>
          <a:ext cx="1285875" cy="279683"/>
          <a:chOff x="6400800" y="3895441"/>
          <a:chExt cx="1285875" cy="279683"/>
        </a:xfrm>
      </xdr:grpSpPr>
      <xdr:sp macro="" textlink="">
        <xdr:nvSpPr>
          <xdr:cNvPr id="13" name="Retângulo: Cantos Arredondados 1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4265B22-015C-85F9-048A-2B79AA0C99EA}"/>
              </a:ext>
            </a:extLst>
          </xdr:cNvPr>
          <xdr:cNvSpPr/>
        </xdr:nvSpPr>
        <xdr:spPr>
          <a:xfrm>
            <a:off x="6400800" y="3895441"/>
            <a:ext cx="1285875" cy="279683"/>
          </a:xfrm>
          <a:prstGeom prst="roundRect">
            <a:avLst>
              <a:gd name="adj" fmla="val 0"/>
            </a:avLst>
          </a:prstGeom>
          <a:solidFill>
            <a:srgbClr val="365F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PROXIMO</a:t>
            </a:r>
            <a:r>
              <a:rPr lang="pt-BR" sz="1050" baseline="0">
                <a:solidFill>
                  <a:schemeClr val="bg1">
                    <a:lumMod val="6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</a:t>
            </a:r>
            <a:endParaRPr lang="pt-BR" sz="1200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sp macro="" textlink="">
        <xdr:nvSpPr>
          <xdr:cNvPr id="14" name="Seta: Divisa 13">
            <a:extLst>
              <a:ext uri="{FF2B5EF4-FFF2-40B4-BE49-F238E27FC236}">
                <a16:creationId xmlns:a16="http://schemas.microsoft.com/office/drawing/2014/main" id="{D8AD616E-5241-1B12-78D5-0F61706FE480}"/>
              </a:ext>
            </a:extLst>
          </xdr:cNvPr>
          <xdr:cNvSpPr/>
        </xdr:nvSpPr>
        <xdr:spPr>
          <a:xfrm>
            <a:off x="7354854" y="3960012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Seta: Divisa 14">
            <a:extLst>
              <a:ext uri="{FF2B5EF4-FFF2-40B4-BE49-F238E27FC236}">
                <a16:creationId xmlns:a16="http://schemas.microsoft.com/office/drawing/2014/main" id="{8B7BA965-D2B9-88A7-6A71-B59F0371AB3E}"/>
              </a:ext>
            </a:extLst>
          </xdr:cNvPr>
          <xdr:cNvSpPr/>
        </xdr:nvSpPr>
        <xdr:spPr>
          <a:xfrm>
            <a:off x="7440721" y="3960012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9525</xdr:colOff>
      <xdr:row>20</xdr:row>
      <xdr:rowOff>38100</xdr:rowOff>
    </xdr:from>
    <xdr:to>
      <xdr:col>2</xdr:col>
      <xdr:colOff>1295400</xdr:colOff>
      <xdr:row>21</xdr:row>
      <xdr:rowOff>127283</xdr:rowOff>
    </xdr:to>
    <xdr:grpSp>
      <xdr:nvGrpSpPr>
        <xdr:cNvPr id="16" name="Agrupar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E066FBC-7F65-4942-A169-D0AAB5400379}"/>
            </a:ext>
          </a:extLst>
        </xdr:cNvPr>
        <xdr:cNvGrpSpPr/>
      </xdr:nvGrpSpPr>
      <xdr:grpSpPr>
        <a:xfrm>
          <a:off x="2390775" y="3895725"/>
          <a:ext cx="1285875" cy="279683"/>
          <a:chOff x="5619750" y="4362450"/>
          <a:chExt cx="1285875" cy="279683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305B571D-7C8B-4E14-698A-F592468C661F}"/>
              </a:ext>
            </a:extLst>
          </xdr:cNvPr>
          <xdr:cNvSpPr/>
        </xdr:nvSpPr>
        <xdr:spPr>
          <a:xfrm>
            <a:off x="5619750" y="4362450"/>
            <a:ext cx="1285875" cy="279683"/>
          </a:xfrm>
          <a:prstGeom prst="roundRect">
            <a:avLst>
              <a:gd name="adj" fmla="val 0"/>
            </a:avLst>
          </a:prstGeom>
          <a:solidFill>
            <a:srgbClr val="365F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baseline="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ANTERIOR</a:t>
            </a:r>
            <a:r>
              <a:rPr lang="pt-BR" sz="1050" baseline="0">
                <a:solidFill>
                  <a:schemeClr val="bg1">
                    <a:lumMod val="6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</a:t>
            </a:r>
            <a:endParaRPr lang="pt-BR" sz="1200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sp macro="" textlink="">
        <xdr:nvSpPr>
          <xdr:cNvPr id="18" name="Seta: Divisa 17">
            <a:extLst>
              <a:ext uri="{FF2B5EF4-FFF2-40B4-BE49-F238E27FC236}">
                <a16:creationId xmlns:a16="http://schemas.microsoft.com/office/drawing/2014/main" id="{41E78894-E570-863C-5079-BC914C207CB1}"/>
              </a:ext>
            </a:extLst>
          </xdr:cNvPr>
          <xdr:cNvSpPr/>
        </xdr:nvSpPr>
        <xdr:spPr>
          <a:xfrm rot="10800000">
            <a:off x="5745129" y="4427021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">
        <xdr:nvSpPr>
          <xdr:cNvPr id="19" name="Seta: Divisa 18">
            <a:extLst>
              <a:ext uri="{FF2B5EF4-FFF2-40B4-BE49-F238E27FC236}">
                <a16:creationId xmlns:a16="http://schemas.microsoft.com/office/drawing/2014/main" id="{9CB0AAA4-3007-5C2B-6EEE-2D9A23C02467}"/>
              </a:ext>
            </a:extLst>
          </xdr:cNvPr>
          <xdr:cNvSpPr/>
        </xdr:nvSpPr>
        <xdr:spPr>
          <a:xfrm rot="10800000">
            <a:off x="5830996" y="4427021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506239</xdr:colOff>
      <xdr:row>2</xdr:row>
      <xdr:rowOff>165139</xdr:rowOff>
    </xdr:from>
    <xdr:to>
      <xdr:col>0</xdr:col>
      <xdr:colOff>1274935</xdr:colOff>
      <xdr:row>7</xdr:row>
      <xdr:rowOff>50477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2E3095-5292-4810-A6BE-A6DC1DDE00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75" t="7514" r="24055" b="15606"/>
        <a:stretch>
          <a:fillRect/>
        </a:stretch>
      </xdr:blipFill>
      <xdr:spPr>
        <a:xfrm>
          <a:off x="506239" y="546139"/>
          <a:ext cx="768696" cy="86641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19049</xdr:rowOff>
    </xdr:from>
    <xdr:to>
      <xdr:col>1</xdr:col>
      <xdr:colOff>9525</xdr:colOff>
      <xdr:row>2</xdr:row>
      <xdr:rowOff>123824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DB1D906-EC37-442D-8F11-2A95FBA589A0}"/>
            </a:ext>
          </a:extLst>
        </xdr:cNvPr>
        <xdr:cNvSpPr/>
      </xdr:nvSpPr>
      <xdr:spPr>
        <a:xfrm>
          <a:off x="0" y="19049"/>
          <a:ext cx="178117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000">
              <a:ln>
                <a:noFill/>
              </a:ln>
              <a:gradFill flip="none" rotWithShape="1">
                <a:gsLst>
                  <a:gs pos="5000">
                    <a:schemeClr val="accent1">
                      <a:lumMod val="20000"/>
                      <a:lumOff val="80000"/>
                    </a:schemeClr>
                  </a:gs>
                  <a:gs pos="46000">
                    <a:srgbClr val="2F8DAF"/>
                  </a:gs>
                  <a:gs pos="81000">
                    <a:srgbClr val="3E6CC0">
                      <a:lumMod val="64000"/>
                      <a:lumOff val="36000"/>
                    </a:srgbClr>
                  </a:gs>
                </a:gsLst>
                <a:lin ang="0" scaled="1"/>
                <a:tileRect/>
              </a:gradFill>
              <a:effectLst>
                <a:glow>
                  <a:schemeClr val="accent1">
                    <a:alpha val="40000"/>
                  </a:schemeClr>
                </a:glow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I.R. APP</a:t>
          </a:r>
        </a:p>
      </xdr:txBody>
    </xdr:sp>
    <xdr:clientData/>
  </xdr:twoCellAnchor>
  <xdr:twoCellAnchor editAs="absolute">
    <xdr:from>
      <xdr:col>0</xdr:col>
      <xdr:colOff>247650</xdr:colOff>
      <xdr:row>7</xdr:row>
      <xdr:rowOff>91792</xdr:rowOff>
    </xdr:from>
    <xdr:to>
      <xdr:col>0</xdr:col>
      <xdr:colOff>1533525</xdr:colOff>
      <xdr:row>9</xdr:row>
      <xdr:rowOff>110842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F07AE2-4F1F-47B8-A1C0-CE353EB479AA}"/>
            </a:ext>
          </a:extLst>
        </xdr:cNvPr>
        <xdr:cNvSpPr/>
      </xdr:nvSpPr>
      <xdr:spPr>
        <a:xfrm>
          <a:off x="247650" y="1453867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247650</xdr:colOff>
      <xdr:row>9</xdr:row>
      <xdr:rowOff>152157</xdr:rowOff>
    </xdr:from>
    <xdr:to>
      <xdr:col>0</xdr:col>
      <xdr:colOff>1533525</xdr:colOff>
      <xdr:row>11</xdr:row>
      <xdr:rowOff>152157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7BC565-65D6-4E1A-B7E2-76221D9917F5}"/>
            </a:ext>
          </a:extLst>
        </xdr:cNvPr>
        <xdr:cNvSpPr/>
      </xdr:nvSpPr>
      <xdr:spPr>
        <a:xfrm>
          <a:off x="247650" y="1895232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11</xdr:row>
      <xdr:rowOff>193472</xdr:rowOff>
    </xdr:from>
    <xdr:to>
      <xdr:col>0</xdr:col>
      <xdr:colOff>1743074</xdr:colOff>
      <xdr:row>13</xdr:row>
      <xdr:rowOff>174422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A1A631-6FC7-4147-813F-93DAE84C6AD6}"/>
            </a:ext>
          </a:extLst>
        </xdr:cNvPr>
        <xdr:cNvSpPr/>
      </xdr:nvSpPr>
      <xdr:spPr>
        <a:xfrm>
          <a:off x="38100" y="2336597"/>
          <a:ext cx="1704974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RENDIMENTOS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142875</xdr:colOff>
      <xdr:row>18</xdr:row>
      <xdr:rowOff>50717</xdr:rowOff>
    </xdr:from>
    <xdr:to>
      <xdr:col>0</xdr:col>
      <xdr:colOff>1638300</xdr:colOff>
      <xdr:row>18</xdr:row>
      <xdr:rowOff>50717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6577AE5-96D3-4E28-9721-A2379ED512E3}"/>
            </a:ext>
          </a:extLst>
        </xdr:cNvPr>
        <xdr:cNvCxnSpPr/>
      </xdr:nvCxnSpPr>
      <xdr:spPr>
        <a:xfrm>
          <a:off x="142875" y="3660692"/>
          <a:ext cx="1495425" cy="0"/>
        </a:xfrm>
        <a:prstGeom prst="line">
          <a:avLst/>
        </a:prstGeom>
        <a:ln w="25400"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47000">
                <a:srgbClr val="2F8DAF"/>
              </a:gs>
              <a:gs pos="100000">
                <a:srgbClr val="3E6CC0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18</xdr:row>
      <xdr:rowOff>92032</xdr:rowOff>
    </xdr:from>
    <xdr:to>
      <xdr:col>1</xdr:col>
      <xdr:colOff>9525</xdr:colOff>
      <xdr:row>19</xdr:row>
      <xdr:rowOff>53931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18E48163-8A9C-4073-9E63-02140AC8C25E}"/>
            </a:ext>
          </a:extLst>
        </xdr:cNvPr>
        <xdr:cNvSpPr/>
      </xdr:nvSpPr>
      <xdr:spPr>
        <a:xfrm>
          <a:off x="0" y="3702007"/>
          <a:ext cx="1781175" cy="1714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lt1">
                  <a:alpha val="53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DEV BY MARCIO SOARES</a:t>
          </a:r>
        </a:p>
      </xdr:txBody>
    </xdr:sp>
    <xdr:clientData/>
  </xdr:twoCellAnchor>
  <xdr:twoCellAnchor editAs="absolute">
    <xdr:from>
      <xdr:col>0</xdr:col>
      <xdr:colOff>709612</xdr:colOff>
      <xdr:row>19</xdr:row>
      <xdr:rowOff>95250</xdr:rowOff>
    </xdr:from>
    <xdr:to>
      <xdr:col>0</xdr:col>
      <xdr:colOff>1071562</xdr:colOff>
      <xdr:row>21</xdr:row>
      <xdr:rowOff>57150</xdr:rowOff>
    </xdr:to>
    <xdr:pic>
      <xdr:nvPicPr>
        <xdr:cNvPr id="9" name="Imagem 8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FFF680-657F-490F-A486-5023D3D9F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4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" y="3914775"/>
          <a:ext cx="361950" cy="36195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36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247650</xdr:colOff>
      <xdr:row>14</xdr:row>
      <xdr:rowOff>6187</xdr:rowOff>
    </xdr:from>
    <xdr:to>
      <xdr:col>0</xdr:col>
      <xdr:colOff>1533525</xdr:colOff>
      <xdr:row>15</xdr:row>
      <xdr:rowOff>196687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9998A8-338F-42CA-AD67-F6DCBDFFAAFE}"/>
            </a:ext>
          </a:extLst>
        </xdr:cNvPr>
        <xdr:cNvSpPr/>
      </xdr:nvSpPr>
      <xdr:spPr>
        <a:xfrm>
          <a:off x="247650" y="2777962"/>
          <a:ext cx="12858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171449</xdr:colOff>
      <xdr:row>16</xdr:row>
      <xdr:rowOff>28452</xdr:rowOff>
    </xdr:from>
    <xdr:to>
      <xdr:col>0</xdr:col>
      <xdr:colOff>1609725</xdr:colOff>
      <xdr:row>18</xdr:row>
      <xdr:rowOff>9402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573C8E-1290-4CB3-BD01-644289B60317}"/>
            </a:ext>
          </a:extLst>
        </xdr:cNvPr>
        <xdr:cNvSpPr/>
      </xdr:nvSpPr>
      <xdr:spPr>
        <a:xfrm>
          <a:off x="171449" y="3219327"/>
          <a:ext cx="1438276" cy="400050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46000">
              <a:srgbClr val="2F8DAF"/>
            </a:gs>
            <a:gs pos="81000">
              <a:srgbClr val="3E6CC0">
                <a:lumMod val="64000"/>
                <a:lumOff val="36000"/>
              </a:srgb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RESULTADO</a:t>
          </a:r>
          <a:endParaRPr lang="pt-BR" sz="2000">
            <a:solidFill>
              <a:schemeClr val="lt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2</xdr:col>
      <xdr:colOff>9525</xdr:colOff>
      <xdr:row>10</xdr:row>
      <xdr:rowOff>47625</xdr:rowOff>
    </xdr:from>
    <xdr:to>
      <xdr:col>2</xdr:col>
      <xdr:colOff>1295400</xdr:colOff>
      <xdr:row>11</xdr:row>
      <xdr:rowOff>117758</xdr:rowOff>
    </xdr:to>
    <xdr:grpSp>
      <xdr:nvGrpSpPr>
        <xdr:cNvPr id="12" name="Agrupar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2158E72-9912-404A-8E83-CC297908CB96}"/>
            </a:ext>
          </a:extLst>
        </xdr:cNvPr>
        <xdr:cNvGrpSpPr/>
      </xdr:nvGrpSpPr>
      <xdr:grpSpPr>
        <a:xfrm>
          <a:off x="2390775" y="1981200"/>
          <a:ext cx="1285875" cy="279683"/>
          <a:chOff x="5619750" y="4362450"/>
          <a:chExt cx="1285875" cy="279683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3E7F9897-6595-668A-572A-B67262F9D993}"/>
              </a:ext>
            </a:extLst>
          </xdr:cNvPr>
          <xdr:cNvSpPr/>
        </xdr:nvSpPr>
        <xdr:spPr>
          <a:xfrm>
            <a:off x="5619750" y="4362450"/>
            <a:ext cx="1285875" cy="279683"/>
          </a:xfrm>
          <a:prstGeom prst="roundRect">
            <a:avLst>
              <a:gd name="adj" fmla="val 0"/>
            </a:avLst>
          </a:prstGeom>
          <a:solidFill>
            <a:srgbClr val="365F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baseline="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ANTERIOR</a:t>
            </a:r>
            <a:r>
              <a:rPr lang="pt-BR" sz="1050" baseline="0">
                <a:solidFill>
                  <a:schemeClr val="bg1">
                    <a:lumMod val="6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</a:t>
            </a:r>
            <a:endParaRPr lang="pt-BR" sz="1200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sp macro="" textlink="">
        <xdr:nvSpPr>
          <xdr:cNvPr id="14" name="Seta: Divisa 13">
            <a:extLst>
              <a:ext uri="{FF2B5EF4-FFF2-40B4-BE49-F238E27FC236}">
                <a16:creationId xmlns:a16="http://schemas.microsoft.com/office/drawing/2014/main" id="{53E19A73-9F9D-1662-3FEA-591FA0379911}"/>
              </a:ext>
            </a:extLst>
          </xdr:cNvPr>
          <xdr:cNvSpPr/>
        </xdr:nvSpPr>
        <xdr:spPr>
          <a:xfrm rot="10800000">
            <a:off x="5745129" y="4427021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Seta: Divisa 14">
            <a:extLst>
              <a:ext uri="{FF2B5EF4-FFF2-40B4-BE49-F238E27FC236}">
                <a16:creationId xmlns:a16="http://schemas.microsoft.com/office/drawing/2014/main" id="{5178488A-E7A8-2E7E-F54E-50FE3F2FFED8}"/>
              </a:ext>
            </a:extLst>
          </xdr:cNvPr>
          <xdr:cNvSpPr/>
        </xdr:nvSpPr>
        <xdr:spPr>
          <a:xfrm rot="10800000">
            <a:off x="5830996" y="4427021"/>
            <a:ext cx="95407" cy="134449"/>
          </a:xfrm>
          <a:prstGeom prst="chevron">
            <a:avLst/>
          </a:prstGeom>
          <a:solidFill>
            <a:schemeClr val="bg1"/>
          </a:solidFill>
          <a:ln>
            <a:solidFill>
              <a:schemeClr val="bg1">
                <a:lumMod val="7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DF0D89-5AF8-427C-9174-C10E3E15E55C}" name="Tabela2" displayName="Tabela2" ref="C8:E20" totalsRowCount="1" headerRowDxfId="21" dataDxfId="4">
  <autoFilter ref="C8:E19" xr:uid="{13DF0D89-5AF8-427C-9174-C10E3E15E55C}"/>
  <tableColumns count="3">
    <tableColumn id="1" xr3:uid="{02A37E16-F0D4-44B8-9D57-4CABEADCC3F0}" name="FONTE PAGADORA" dataDxfId="7" totalsRowDxfId="10"/>
    <tableColumn id="2" xr3:uid="{E1537339-226D-4D7B-881C-C20052F62611}" name="DOCUMENTO" dataDxfId="6" totalsRowDxfId="9"/>
    <tableColumn id="3" xr3:uid="{3E610F50-C6B2-470C-B3A4-D0739917164B}" name="VALOR" totalsRowFunction="custom" dataDxfId="5" totalsRowDxfId="8">
      <totalsRowFormula>SUM(Tabela2[VALOR])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E3E6DD-02E7-48AF-AC87-555ACA54356B}" name="Tabela25" displayName="Tabela25" ref="C8:E20" totalsRowCount="1" headerRowDxfId="20" dataDxfId="0">
  <autoFilter ref="C8:E19" xr:uid="{9FE3E6DD-02E7-48AF-AC87-555ACA54356B}"/>
  <tableColumns count="3">
    <tableColumn id="1" xr3:uid="{09E9FA59-F6B8-47EA-9222-FEE697FD8F78}" name="FONTE PAGADORA" dataDxfId="3" totalsRowDxfId="19"/>
    <tableColumn id="2" xr3:uid="{7DFB23B9-9C15-4B7A-B2F3-3FB4F1BCFD40}" name="DOCUMENTO" dataDxfId="2" totalsRowDxfId="18"/>
    <tableColumn id="3" xr3:uid="{E05A6A12-5A5B-4ED6-B8B7-2E437B4FFD73}" name="VALOR" totalsRowFunction="custom" dataDxfId="1" totalsRowDxfId="17">
      <totalsRowFormula>SUM(Tabela25[VALOR])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CIOE.SOARES@GMAIL.COM" TargetMode="External"/><Relationship Id="rId1" Type="http://schemas.openxmlformats.org/officeDocument/2006/relationships/hyperlink" Target="mailto:marcioe.soares@gmail.com?subject=APP%20IMPOSTO%20DE%20REND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D50D-7B1C-481B-BB78-0255B40A1342}">
  <sheetPr codeName="Planilha1"/>
  <dimension ref="A3:E21"/>
  <sheetViews>
    <sheetView showGridLines="0" showRowColHeaders="0" tabSelected="1" zoomScaleNormal="100" workbookViewId="0">
      <selection activeCell="D16" sqref="D16"/>
    </sheetView>
  </sheetViews>
  <sheetFormatPr defaultRowHeight="15" x14ac:dyDescent="0.25"/>
  <cols>
    <col min="1" max="1" width="26.5703125" style="1" customWidth="1"/>
    <col min="3" max="4" width="39.7109375" customWidth="1"/>
    <col min="5" max="5" width="13.7109375" customWidth="1"/>
  </cols>
  <sheetData>
    <row r="3" spans="3:5" ht="17.25" thickBot="1" x14ac:dyDescent="0.35">
      <c r="C3" s="2" t="s">
        <v>0</v>
      </c>
      <c r="D3" s="2"/>
      <c r="E3" s="2"/>
    </row>
    <row r="4" spans="3:5" x14ac:dyDescent="0.25">
      <c r="C4" s="3" t="s">
        <v>1</v>
      </c>
      <c r="D4" s="3"/>
      <c r="E4" s="3"/>
    </row>
    <row r="5" spans="3:5" x14ac:dyDescent="0.25">
      <c r="C5" s="6"/>
      <c r="D5" s="6"/>
      <c r="E5" s="6"/>
    </row>
    <row r="7" spans="3:5" x14ac:dyDescent="0.25">
      <c r="C7" s="5" t="s">
        <v>2</v>
      </c>
      <c r="D7" s="23" t="s">
        <v>91</v>
      </c>
    </row>
    <row r="8" spans="3:5" x14ac:dyDescent="0.25">
      <c r="C8" s="5" t="s">
        <v>3</v>
      </c>
      <c r="D8" s="24">
        <v>32782165489</v>
      </c>
    </row>
    <row r="9" spans="3:5" x14ac:dyDescent="0.25">
      <c r="C9" s="5" t="s">
        <v>4</v>
      </c>
      <c r="D9" s="25">
        <v>31633</v>
      </c>
    </row>
    <row r="10" spans="3:5" x14ac:dyDescent="0.25">
      <c r="C10" s="5" t="s">
        <v>5</v>
      </c>
      <c r="D10" s="26">
        <v>234567823469</v>
      </c>
    </row>
    <row r="11" spans="3:5" x14ac:dyDescent="0.25">
      <c r="C11" s="5" t="s">
        <v>6</v>
      </c>
      <c r="D11" s="27" t="s">
        <v>16</v>
      </c>
    </row>
    <row r="12" spans="3:5" x14ac:dyDescent="0.25">
      <c r="C12" s="5" t="s">
        <v>7</v>
      </c>
      <c r="D12" s="27" t="s">
        <v>18</v>
      </c>
    </row>
    <row r="13" spans="3:5" x14ac:dyDescent="0.25">
      <c r="C13" s="5" t="s">
        <v>8</v>
      </c>
      <c r="D13" s="27" t="s">
        <v>17</v>
      </c>
    </row>
    <row r="14" spans="3:5" x14ac:dyDescent="0.25">
      <c r="C14" s="5" t="s">
        <v>9</v>
      </c>
      <c r="D14" s="28">
        <v>2345678</v>
      </c>
    </row>
    <row r="15" spans="3:5" x14ac:dyDescent="0.25">
      <c r="C15" s="5" t="s">
        <v>10</v>
      </c>
      <c r="D15" s="29">
        <v>1198776365</v>
      </c>
    </row>
    <row r="16" spans="3:5" x14ac:dyDescent="0.25">
      <c r="C16" s="5" t="s">
        <v>11</v>
      </c>
      <c r="D16" s="30">
        <v>11987776365</v>
      </c>
    </row>
    <row r="17" spans="3:4" x14ac:dyDescent="0.25">
      <c r="C17" s="5" t="s">
        <v>12</v>
      </c>
      <c r="D17" s="31" t="s">
        <v>19</v>
      </c>
    </row>
    <row r="18" spans="3:4" x14ac:dyDescent="0.25">
      <c r="C18" s="5" t="s">
        <v>13</v>
      </c>
      <c r="D18" s="27" t="s">
        <v>20</v>
      </c>
    </row>
    <row r="19" spans="3:4" x14ac:dyDescent="0.25">
      <c r="C19" s="5" t="s">
        <v>14</v>
      </c>
      <c r="D19" s="27" t="s">
        <v>20</v>
      </c>
    </row>
    <row r="20" spans="3:4" x14ac:dyDescent="0.25">
      <c r="C20" s="5" t="s">
        <v>15</v>
      </c>
      <c r="D20" s="27" t="s">
        <v>20</v>
      </c>
    </row>
    <row r="21" spans="3:4" ht="16.5" x14ac:dyDescent="0.3">
      <c r="C21" s="4"/>
    </row>
  </sheetData>
  <sheetProtection sheet="1" objects="1" scenarios="1" selectLockedCells="1"/>
  <mergeCells count="2">
    <mergeCell ref="C4:E4"/>
    <mergeCell ref="C3:E3"/>
  </mergeCells>
  <dataValidations count="1">
    <dataValidation type="list" allowBlank="1" showInputMessage="1" showErrorMessage="1" sqref="D18:D20" xr:uid="{1123DA53-C429-40CA-A24F-6AA992EC558E}">
      <formula1>"SIM, NÃO"</formula1>
    </dataValidation>
  </dataValidations>
  <hyperlinks>
    <hyperlink ref="D17" r:id="rId1" xr:uid="{98C0F3A2-1FBC-4EE4-BF14-B7DD37BFA8A9}"/>
    <hyperlink ref="D7" r:id="rId2" display="MARCIOE.SOARES@GMAIL.COM" xr:uid="{4ADF1701-170B-490F-AAC2-2184CB2AFE2A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86D5-8A77-4ED8-A796-8C6C689A8A26}">
  <sheetPr codeName="Planilha2"/>
  <dimension ref="A3:E21"/>
  <sheetViews>
    <sheetView showGridLines="0" topLeftCell="A4" workbookViewId="0">
      <selection activeCell="D19" sqref="D19"/>
    </sheetView>
  </sheetViews>
  <sheetFormatPr defaultRowHeight="15" x14ac:dyDescent="0.25"/>
  <cols>
    <col min="1" max="1" width="26.5703125" style="1" customWidth="1"/>
    <col min="3" max="4" width="32.7109375" customWidth="1"/>
  </cols>
  <sheetData>
    <row r="3" spans="3:5" ht="17.25" thickBot="1" x14ac:dyDescent="0.35">
      <c r="C3" s="2" t="s">
        <v>26</v>
      </c>
      <c r="D3" s="2"/>
      <c r="E3" s="2"/>
    </row>
    <row r="4" spans="3:5" x14ac:dyDescent="0.25">
      <c r="C4" s="3" t="s">
        <v>27</v>
      </c>
      <c r="D4" s="3"/>
      <c r="E4" s="3"/>
    </row>
    <row r="5" spans="3:5" ht="15.75" thickBot="1" x14ac:dyDescent="0.3"/>
    <row r="6" spans="3:5" x14ac:dyDescent="0.25">
      <c r="C6" s="9" t="s">
        <v>28</v>
      </c>
      <c r="D6" s="12">
        <f>D10+D15+D20</f>
        <v>22600</v>
      </c>
      <c r="E6" s="8"/>
    </row>
    <row r="7" spans="3:5" ht="16.5" x14ac:dyDescent="0.3">
      <c r="C7" s="4"/>
    </row>
    <row r="8" spans="3:5" x14ac:dyDescent="0.25">
      <c r="C8" s="7" t="s">
        <v>21</v>
      </c>
    </row>
    <row r="9" spans="3:5" x14ac:dyDescent="0.25">
      <c r="C9" s="10" t="s">
        <v>22</v>
      </c>
      <c r="D9" s="32" t="s">
        <v>36</v>
      </c>
    </row>
    <row r="10" spans="3:5" x14ac:dyDescent="0.25">
      <c r="C10" s="10" t="s">
        <v>23</v>
      </c>
      <c r="D10" s="33">
        <v>7500</v>
      </c>
    </row>
    <row r="11" spans="3:5" ht="16.5" x14ac:dyDescent="0.3">
      <c r="C11" s="10" t="s">
        <v>29</v>
      </c>
      <c r="D11" s="34" t="s">
        <v>80</v>
      </c>
    </row>
    <row r="12" spans="3:5" ht="16.5" x14ac:dyDescent="0.3">
      <c r="C12" s="4"/>
    </row>
    <row r="13" spans="3:5" x14ac:dyDescent="0.25">
      <c r="C13" s="7" t="s">
        <v>24</v>
      </c>
    </row>
    <row r="14" spans="3:5" x14ac:dyDescent="0.25">
      <c r="C14" s="10" t="s">
        <v>22</v>
      </c>
      <c r="D14" s="32" t="s">
        <v>70</v>
      </c>
    </row>
    <row r="15" spans="3:5" x14ac:dyDescent="0.25">
      <c r="C15" s="10" t="s">
        <v>23</v>
      </c>
      <c r="D15" s="33">
        <v>2300</v>
      </c>
    </row>
    <row r="16" spans="3:5" ht="16.5" x14ac:dyDescent="0.3">
      <c r="C16" s="10" t="s">
        <v>29</v>
      </c>
      <c r="D16" s="34" t="s">
        <v>81</v>
      </c>
    </row>
    <row r="17" spans="3:4" ht="16.5" x14ac:dyDescent="0.3">
      <c r="C17" s="4"/>
    </row>
    <row r="18" spans="3:4" x14ac:dyDescent="0.25">
      <c r="C18" s="7" t="s">
        <v>25</v>
      </c>
    </row>
    <row r="19" spans="3:4" x14ac:dyDescent="0.25">
      <c r="C19" s="10" t="s">
        <v>22</v>
      </c>
      <c r="D19" s="32" t="s">
        <v>77</v>
      </c>
    </row>
    <row r="20" spans="3:4" x14ac:dyDescent="0.25">
      <c r="C20" s="10" t="s">
        <v>23</v>
      </c>
      <c r="D20" s="33">
        <v>12800</v>
      </c>
    </row>
    <row r="21" spans="3:4" ht="16.5" x14ac:dyDescent="0.3">
      <c r="C21" s="10" t="s">
        <v>29</v>
      </c>
      <c r="D21" s="34" t="s">
        <v>82</v>
      </c>
    </row>
  </sheetData>
  <sheetProtection sheet="1" objects="1" scenarios="1" selectLockedCells="1"/>
  <mergeCells count="2">
    <mergeCell ref="C3:E3"/>
    <mergeCell ref="C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25397C-14D7-47A7-A778-441EDF30D0A4}">
          <x14:formula1>
            <xm:f>BANCOS!$A$1:$A$50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608D-9B96-4522-A4A1-4EAA93869671}">
  <sheetPr codeName="Planilha6"/>
  <dimension ref="A1:A50"/>
  <sheetViews>
    <sheetView topLeftCell="A35" workbookViewId="0">
      <selection activeCell="A2" sqref="A2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62</v>
      </c>
    </row>
    <row r="34" spans="1:1" x14ac:dyDescent="0.25">
      <c r="A34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  <row r="37" spans="1:1" x14ac:dyDescent="0.25">
      <c r="A37" t="s">
        <v>66</v>
      </c>
    </row>
    <row r="38" spans="1:1" x14ac:dyDescent="0.25">
      <c r="A38" t="s">
        <v>67</v>
      </c>
    </row>
    <row r="39" spans="1:1" x14ac:dyDescent="0.25">
      <c r="A39" t="s">
        <v>68</v>
      </c>
    </row>
    <row r="40" spans="1:1" x14ac:dyDescent="0.25">
      <c r="A40" t="s">
        <v>69</v>
      </c>
    </row>
    <row r="41" spans="1:1" x14ac:dyDescent="0.25">
      <c r="A41" t="s">
        <v>70</v>
      </c>
    </row>
    <row r="42" spans="1:1" x14ac:dyDescent="0.25">
      <c r="A42" t="s">
        <v>71</v>
      </c>
    </row>
    <row r="43" spans="1:1" x14ac:dyDescent="0.25">
      <c r="A43" t="s">
        <v>72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76</v>
      </c>
    </row>
    <row r="48" spans="1:1" x14ac:dyDescent="0.25">
      <c r="A48" t="s">
        <v>77</v>
      </c>
    </row>
    <row r="49" spans="1:1" x14ac:dyDescent="0.25">
      <c r="A49" t="s">
        <v>78</v>
      </c>
    </row>
    <row r="50" spans="1:1" x14ac:dyDescent="0.25">
      <c r="A50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248E-AA46-4FA3-88CA-446F76CBDDB5}">
  <sheetPr codeName="Planilha3"/>
  <dimension ref="A3:E20"/>
  <sheetViews>
    <sheetView showGridLines="0" topLeftCell="A4" workbookViewId="0">
      <selection activeCell="D18" sqref="D18"/>
    </sheetView>
  </sheetViews>
  <sheetFormatPr defaultRowHeight="15" x14ac:dyDescent="0.25"/>
  <cols>
    <col min="1" max="1" width="26.5703125" style="1" customWidth="1"/>
    <col min="3" max="4" width="32.7109375" customWidth="1"/>
    <col min="5" max="5" width="13.7109375" customWidth="1"/>
  </cols>
  <sheetData>
    <row r="3" spans="3:5" ht="17.25" thickBot="1" x14ac:dyDescent="0.35">
      <c r="C3" s="2" t="s">
        <v>83</v>
      </c>
      <c r="D3" s="2"/>
      <c r="E3" s="2"/>
    </row>
    <row r="4" spans="3:5" x14ac:dyDescent="0.25">
      <c r="C4" s="3" t="s">
        <v>86</v>
      </c>
      <c r="D4" s="3"/>
      <c r="E4" s="3"/>
    </row>
    <row r="6" spans="3:5" x14ac:dyDescent="0.25">
      <c r="C6" s="13" t="s">
        <v>84</v>
      </c>
      <c r="D6" s="13"/>
      <c r="E6" s="13"/>
    </row>
    <row r="7" spans="3:5" ht="16.5" x14ac:dyDescent="0.3">
      <c r="C7" s="4"/>
    </row>
    <row r="8" spans="3:5" x14ac:dyDescent="0.25">
      <c r="C8" s="14" t="s">
        <v>85</v>
      </c>
      <c r="D8" s="14" t="s">
        <v>87</v>
      </c>
      <c r="E8" s="14" t="s">
        <v>88</v>
      </c>
    </row>
    <row r="9" spans="3:5" x14ac:dyDescent="0.25">
      <c r="C9" s="35" t="s">
        <v>89</v>
      </c>
      <c r="D9" s="35" t="s">
        <v>90</v>
      </c>
      <c r="E9" s="36">
        <v>57000</v>
      </c>
    </row>
    <row r="10" spans="3:5" x14ac:dyDescent="0.25">
      <c r="C10" s="35" t="s">
        <v>92</v>
      </c>
      <c r="D10" s="35" t="s">
        <v>93</v>
      </c>
      <c r="E10" s="36">
        <v>22000</v>
      </c>
    </row>
    <row r="11" spans="3:5" x14ac:dyDescent="0.25">
      <c r="C11" s="35" t="s">
        <v>89</v>
      </c>
      <c r="D11" s="35" t="s">
        <v>94</v>
      </c>
      <c r="E11" s="36">
        <v>3800</v>
      </c>
    </row>
    <row r="12" spans="3:5" x14ac:dyDescent="0.25">
      <c r="C12" s="35" t="s">
        <v>92</v>
      </c>
      <c r="D12" s="35" t="s">
        <v>95</v>
      </c>
      <c r="E12" s="36">
        <v>13900</v>
      </c>
    </row>
    <row r="13" spans="3:5" x14ac:dyDescent="0.25">
      <c r="C13" s="35"/>
      <c r="D13" s="35"/>
      <c r="E13" s="36"/>
    </row>
    <row r="14" spans="3:5" x14ac:dyDescent="0.25">
      <c r="C14" s="35"/>
      <c r="D14" s="35"/>
      <c r="E14" s="36"/>
    </row>
    <row r="15" spans="3:5" x14ac:dyDescent="0.25">
      <c r="C15" s="35"/>
      <c r="D15" s="35"/>
      <c r="E15" s="36"/>
    </row>
    <row r="16" spans="3:5" x14ac:dyDescent="0.25">
      <c r="C16" s="35"/>
      <c r="D16" s="35"/>
      <c r="E16" s="36"/>
    </row>
    <row r="17" spans="3:5" x14ac:dyDescent="0.25">
      <c r="C17" s="35"/>
      <c r="D17" s="35"/>
      <c r="E17" s="36"/>
    </row>
    <row r="18" spans="3:5" x14ac:dyDescent="0.25">
      <c r="C18" s="35"/>
      <c r="D18" s="35"/>
      <c r="E18" s="36"/>
    </row>
    <row r="19" spans="3:5" x14ac:dyDescent="0.25">
      <c r="C19" s="35"/>
      <c r="D19" s="35"/>
      <c r="E19" s="36"/>
    </row>
    <row r="20" spans="3:5" x14ac:dyDescent="0.25">
      <c r="C20" s="16"/>
      <c r="D20" s="16"/>
      <c r="E20" s="15">
        <f>SUM(Tabela2[VALOR])</f>
        <v>96700</v>
      </c>
    </row>
  </sheetData>
  <sheetProtection sheet="1" objects="1" scenarios="1" selectLockedCells="1"/>
  <mergeCells count="3">
    <mergeCell ref="C3:E3"/>
    <mergeCell ref="C4:E4"/>
    <mergeCell ref="C6:E6"/>
  </mergeCells>
  <dataValidations count="2">
    <dataValidation allowBlank="1" showInputMessage="1" showErrorMessage="1" promptTitle="DICAS DE PREENCHIMENTO" prompt="PREENCHAE DE ACORDO COM O INFORME RECEBIDO DO SEU EMPREGADOR, BANCO E DEMAIS COMPROVANTES DE RENDIMENTOS." sqref="C6" xr:uid="{A77EE2D8-0F54-4B26-811C-7F4461F9ED14}"/>
    <dataValidation type="list" allowBlank="1" showInputMessage="1" showErrorMessage="1" sqref="C9:C19" xr:uid="{A7A3F20B-48E0-44B5-B82C-11D70A9E89D9}">
      <formula1>"PESSOA JURIDICA, PESSOA FISICA"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8234-1948-48D2-B2AC-7A121CE20416}">
  <sheetPr codeName="Planilha4"/>
  <dimension ref="A3:E20"/>
  <sheetViews>
    <sheetView workbookViewId="0">
      <selection activeCell="C15" sqref="C15"/>
    </sheetView>
  </sheetViews>
  <sheetFormatPr defaultRowHeight="15" x14ac:dyDescent="0.25"/>
  <cols>
    <col min="1" max="1" width="26.5703125" style="1" customWidth="1"/>
    <col min="3" max="4" width="32.7109375" customWidth="1"/>
    <col min="5" max="5" width="13.42578125" bestFit="1" customWidth="1"/>
  </cols>
  <sheetData>
    <row r="3" spans="3:5" ht="17.25" thickBot="1" x14ac:dyDescent="0.35">
      <c r="C3" s="2" t="s">
        <v>96</v>
      </c>
      <c r="D3" s="2"/>
      <c r="E3" s="2"/>
    </row>
    <row r="4" spans="3:5" x14ac:dyDescent="0.25">
      <c r="C4" s="3" t="s">
        <v>97</v>
      </c>
      <c r="D4" s="3"/>
      <c r="E4" s="3"/>
    </row>
    <row r="6" spans="3:5" x14ac:dyDescent="0.25">
      <c r="C6" s="13" t="s">
        <v>84</v>
      </c>
      <c r="D6" s="13"/>
      <c r="E6" s="13"/>
    </row>
    <row r="7" spans="3:5" ht="16.5" x14ac:dyDescent="0.3">
      <c r="C7" s="4"/>
    </row>
    <row r="8" spans="3:5" x14ac:dyDescent="0.25">
      <c r="C8" s="14" t="s">
        <v>85</v>
      </c>
      <c r="D8" s="14" t="s">
        <v>87</v>
      </c>
      <c r="E8" s="14" t="s">
        <v>88</v>
      </c>
    </row>
    <row r="9" spans="3:5" x14ac:dyDescent="0.25">
      <c r="C9" s="35" t="s">
        <v>89</v>
      </c>
      <c r="D9" s="35" t="s">
        <v>98</v>
      </c>
      <c r="E9" s="36">
        <v>7000</v>
      </c>
    </row>
    <row r="10" spans="3:5" x14ac:dyDescent="0.25">
      <c r="C10" s="35" t="s">
        <v>92</v>
      </c>
      <c r="D10" s="35" t="s">
        <v>99</v>
      </c>
      <c r="E10" s="36">
        <v>300</v>
      </c>
    </row>
    <row r="11" spans="3:5" x14ac:dyDescent="0.25">
      <c r="C11" s="35" t="s">
        <v>92</v>
      </c>
      <c r="D11" s="35" t="s">
        <v>100</v>
      </c>
      <c r="E11" s="36">
        <v>1000</v>
      </c>
    </row>
    <row r="12" spans="3:5" x14ac:dyDescent="0.25">
      <c r="C12" s="35" t="s">
        <v>92</v>
      </c>
      <c r="D12" s="35" t="s">
        <v>101</v>
      </c>
      <c r="E12" s="36">
        <v>12000</v>
      </c>
    </row>
    <row r="13" spans="3:5" x14ac:dyDescent="0.25">
      <c r="C13" s="35"/>
      <c r="D13" s="35"/>
      <c r="E13" s="36"/>
    </row>
    <row r="14" spans="3:5" x14ac:dyDescent="0.25">
      <c r="C14" s="35"/>
      <c r="D14" s="35"/>
      <c r="E14" s="36"/>
    </row>
    <row r="15" spans="3:5" x14ac:dyDescent="0.25">
      <c r="C15" s="35"/>
      <c r="D15" s="35"/>
      <c r="E15" s="36"/>
    </row>
    <row r="16" spans="3:5" x14ac:dyDescent="0.25">
      <c r="C16" s="35"/>
      <c r="D16" s="35"/>
      <c r="E16" s="36"/>
    </row>
    <row r="17" spans="3:5" x14ac:dyDescent="0.25">
      <c r="C17" s="35"/>
      <c r="D17" s="35"/>
      <c r="E17" s="36"/>
    </row>
    <row r="18" spans="3:5" x14ac:dyDescent="0.25">
      <c r="C18" s="35"/>
      <c r="D18" s="35"/>
      <c r="E18" s="36"/>
    </row>
    <row r="19" spans="3:5" x14ac:dyDescent="0.25">
      <c r="C19" s="35"/>
      <c r="D19" s="35"/>
      <c r="E19" s="36"/>
    </row>
    <row r="20" spans="3:5" x14ac:dyDescent="0.25">
      <c r="C20" s="16"/>
      <c r="D20" s="16"/>
      <c r="E20" s="15">
        <f>SUM(Tabela25[VALOR])</f>
        <v>20300</v>
      </c>
    </row>
  </sheetData>
  <sheetProtection sheet="1" objects="1" scenarios="1" selectLockedCells="1"/>
  <mergeCells count="3">
    <mergeCell ref="C3:E3"/>
    <mergeCell ref="C4:E4"/>
    <mergeCell ref="C6:E6"/>
  </mergeCells>
  <dataValidations count="2">
    <dataValidation type="list" allowBlank="1" showInputMessage="1" showErrorMessage="1" sqref="C9:C19" xr:uid="{518ACAEC-3B93-48B9-87D9-9C78AEC81C75}">
      <formula1>"PESSOA JURIDICA, PESSOA FISICA"</formula1>
    </dataValidation>
    <dataValidation allowBlank="1" showInputMessage="1" showErrorMessage="1" promptTitle="DICAS DE PREENCHIMENTO" prompt="PREENCHA DE ACORDO COM OS COMPROVANTES DE PAGAMENTOS RECEBIDOS NO ANO DE 2026" sqref="C6:E6" xr:uid="{35F1D063-2AB4-4999-B661-53A351BFE41E}"/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ABEF-5AF0-4DCC-B951-76A5D9F1E052}">
  <sheetPr codeName="Planilha5"/>
  <dimension ref="A3:E20"/>
  <sheetViews>
    <sheetView showGridLines="0" showRowColHeaders="0" workbookViewId="0">
      <selection activeCell="B18" sqref="B18"/>
    </sheetView>
  </sheetViews>
  <sheetFormatPr defaultRowHeight="15" x14ac:dyDescent="0.25"/>
  <cols>
    <col min="1" max="1" width="26.5703125" style="1" customWidth="1"/>
    <col min="3" max="4" width="32.7109375" customWidth="1"/>
    <col min="5" max="5" width="20.5703125" bestFit="1" customWidth="1"/>
  </cols>
  <sheetData>
    <row r="3" spans="3:5" ht="17.25" thickBot="1" x14ac:dyDescent="0.35">
      <c r="C3" s="2" t="s">
        <v>102</v>
      </c>
      <c r="D3" s="2"/>
      <c r="E3" s="2"/>
    </row>
    <row r="4" spans="3:5" x14ac:dyDescent="0.25">
      <c r="C4" s="3" t="s">
        <v>103</v>
      </c>
      <c r="D4" s="3"/>
      <c r="E4" s="3"/>
    </row>
    <row r="6" spans="3:5" x14ac:dyDescent="0.25">
      <c r="C6" s="10" t="s">
        <v>104</v>
      </c>
      <c r="D6" s="17">
        <f>Tabela2[[#Totals],[VALOR]]</f>
        <v>96700</v>
      </c>
    </row>
    <row r="7" spans="3:5" x14ac:dyDescent="0.25">
      <c r="C7" s="10" t="s">
        <v>105</v>
      </c>
      <c r="D7" s="17">
        <f>Tabela25[[#Totals],[VALOR]]</f>
        <v>20300</v>
      </c>
    </row>
    <row r="8" spans="3:5" x14ac:dyDescent="0.25">
      <c r="C8" s="10" t="s">
        <v>106</v>
      </c>
      <c r="D8" s="11">
        <f>D6-D7</f>
        <v>76400</v>
      </c>
      <c r="E8" s="18">
        <f>D8/12</f>
        <v>6366.666666666667</v>
      </c>
    </row>
    <row r="9" spans="3:5" x14ac:dyDescent="0.25">
      <c r="C9" s="10" t="s">
        <v>107</v>
      </c>
      <c r="D9" s="37">
        <f>IF(E8&lt;=2499,0%,IF(E8&gt;4700,27.5%, IF(E8&gt;3800,22.5%, IF(E8&gt;2800,15%, IF(E8&gt;2500, 7.5%,0%)))))</f>
        <v>0.27500000000000002</v>
      </c>
    </row>
    <row r="10" spans="3:5" x14ac:dyDescent="0.25">
      <c r="C10" s="10" t="s">
        <v>108</v>
      </c>
      <c r="D10" s="17">
        <f>D8*D9</f>
        <v>21010</v>
      </c>
      <c r="E10" s="17" t="str">
        <f>IF($D$10&gt;0,"IMPOSTO A RECOLHER",IF($D$10&gt;0,"IMPOSTO A RESTITUIR"))</f>
        <v>IMPOSTO A RECOLHER</v>
      </c>
    </row>
    <row r="11" spans="3:5" ht="16.5" x14ac:dyDescent="0.3">
      <c r="C11" s="19"/>
      <c r="D11" s="21"/>
      <c r="E11" s="20"/>
    </row>
    <row r="12" spans="3:5" ht="16.5" x14ac:dyDescent="0.3">
      <c r="C12" s="4"/>
      <c r="D12" s="22"/>
    </row>
    <row r="13" spans="3:5" ht="16.5" x14ac:dyDescent="0.3">
      <c r="C13" s="4"/>
    </row>
    <row r="14" spans="3:5" ht="16.5" x14ac:dyDescent="0.3">
      <c r="C14" s="4"/>
    </row>
    <row r="15" spans="3:5" ht="16.5" x14ac:dyDescent="0.3">
      <c r="C15" s="4"/>
    </row>
    <row r="16" spans="3:5" ht="16.5" x14ac:dyDescent="0.3">
      <c r="C16" s="4"/>
    </row>
    <row r="17" spans="3:3" ht="16.5" x14ac:dyDescent="0.3">
      <c r="C17" s="4"/>
    </row>
    <row r="18" spans="3:3" ht="16.5" x14ac:dyDescent="0.3">
      <c r="C18" s="4"/>
    </row>
    <row r="19" spans="3:3" ht="16.5" x14ac:dyDescent="0.3">
      <c r="C19" s="4"/>
    </row>
    <row r="20" spans="3:3" ht="16.5" x14ac:dyDescent="0.3">
      <c r="C20" s="4"/>
    </row>
  </sheetData>
  <sheetProtection sheet="1" objects="1" scenarios="1" selectLockedCells="1"/>
  <mergeCells count="2">
    <mergeCell ref="C3:E3"/>
    <mergeCell ref="C4:E4"/>
  </mergeCells>
  <conditionalFormatting sqref="D11">
    <cfRule type="containsText" dxfId="15" priority="4" operator="containsText" text="IMPOSTO A RECOLHER">
      <formula>NOT(ISERROR(SEARCH("IMPOSTO A RECOLHER",D11)))</formula>
    </cfRule>
    <cfRule type="containsText" dxfId="16" priority="3" operator="containsText" text="IMPOSTO A RESTITUIR">
      <formula>NOT(ISERROR(SEARCH("IMPOSTO A RESTITUIR",D11)))</formula>
    </cfRule>
  </conditionalFormatting>
  <conditionalFormatting sqref="E10">
    <cfRule type="containsText" dxfId="11" priority="1" operator="containsText" text="IMPOSTO A RESTITUIR">
      <formula>NOT(ISERROR(SEARCH("IMPOSTO A RESTITUIR",E10)))</formula>
    </cfRule>
    <cfRule type="containsText" dxfId="12" priority="2" operator="containsText" text="IMPOSTO A RECOLHER">
      <formula>NOT(ISERROR(SEARCH("IMPOSTO A RECOLHER",E10)))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TITULAR</vt:lpstr>
      <vt:lpstr>INFORMES</vt:lpstr>
      <vt:lpstr>BANCOS</vt:lpstr>
      <vt:lpstr>RENDIMENTOS</vt:lpstr>
      <vt:lpstr>DESPESAS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Elias Santa Rosa Soares</dc:creator>
  <cp:lastModifiedBy>Marcio Elias Santa Rosa Soares</cp:lastModifiedBy>
  <dcterms:created xsi:type="dcterms:W3CDTF">2026-10-07T12:34:56Z</dcterms:created>
  <dcterms:modified xsi:type="dcterms:W3CDTF">2026-10-07T16:14:18Z</dcterms:modified>
</cp:coreProperties>
</file>